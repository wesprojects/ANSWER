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wing Checklist" sheetId="1" state="visible" r:id="rId1"/>
    <sheet xmlns:r="http://schemas.openxmlformats.org/officeDocument/2006/relationships" name="Questions &amp; Decisions" sheetId="2" state="visible" r:id="rId2"/>
    <sheet xmlns:r="http://schemas.openxmlformats.org/officeDocument/2006/relationships" name="Meeting Notes" sheetId="3" state="visible" r:id="rId3"/>
    <sheet xmlns:r="http://schemas.openxmlformats.org/officeDocument/2006/relationships" name="Other Products" sheetId="4" state="visible" r:id="rId4"/>
  </sheets>
  <definedNames>
    <definedName name="_xlnm._FilterDatabase" localSheetId="0" hidden="1">'Drawing Checklist'!$A$2:$Q$25</definedName>
    <definedName name="_xlnm._FilterDatabase" localSheetId="1" hidden="1">'Questions &amp; Decisions'!$A$2:$H$14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19" customWidth="1" min="3" max="3"/>
    <col width="22" customWidth="1" min="4" max="4"/>
    <col width="8" customWidth="1" min="5" max="5"/>
    <col width="13" customWidth="1" min="6" max="6"/>
    <col width="26" customWidth="1" min="7" max="7"/>
    <col width="30" customWidth="1" min="8" max="8"/>
    <col width="12" customWidth="1" min="9" max="9"/>
    <col width="3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44" customWidth="1" min="16" max="16"/>
    <col width="36" customWidth="1" min="17" max="17"/>
  </cols>
  <sheetData>
    <row r="1">
      <c r="A1" s="1" t="inlineStr">
        <is>
          <t>Worksurface drawing review. Status: Pre-checked = read from the drawing by Claude, not yet confirmed by you. Change to Confirmed once you verify. Add your own rows at the bottom or use the Other Products sheet.</t>
        </is>
      </c>
    </row>
    <row r="2" ht="32" customHeight="1">
      <c r="A2" s="2" t="inlineStr">
        <is>
          <t>#</t>
        </is>
      </c>
      <c r="B2" s="2" t="inlineStr">
        <is>
          <t>Group</t>
        </is>
      </c>
      <c r="C2" s="2" t="inlineStr">
        <is>
          <t>Product / Model No.</t>
        </is>
      </c>
      <c r="D2" s="2" t="inlineStr">
        <is>
          <t>Drawing file</t>
        </is>
      </c>
      <c r="E2" s="2" t="inlineStr">
        <is>
          <t>PDF page</t>
        </is>
      </c>
      <c r="F2" s="2" t="inlineStr">
        <is>
          <t>Size (mm)</t>
        </is>
      </c>
      <c r="G2" s="2" t="inlineStr">
        <is>
          <t>Cutout / grommet</t>
        </is>
      </c>
      <c r="H2" s="2" t="inlineStr">
        <is>
          <t>Holes on drawing</t>
        </is>
      </c>
      <c r="I2" s="2" t="inlineStr">
        <is>
          <t>Packing (drawing)</t>
        </is>
      </c>
      <c r="J2" s="2" t="inlineStr">
        <is>
          <t>Spec per email</t>
        </is>
      </c>
      <c r="K2" s="2" t="inlineStr">
        <is>
          <t>Holes</t>
        </is>
      </c>
      <c r="L2" s="2" t="inlineStr">
        <is>
          <t>Model No.</t>
        </is>
      </c>
      <c r="M2" s="2" t="inlineStr">
        <is>
          <t>Size</t>
        </is>
      </c>
      <c r="N2" s="2" t="inlineStr">
        <is>
          <t>Pack</t>
        </is>
      </c>
      <c r="O2" s="2" t="inlineStr">
        <is>
          <t>Overall</t>
        </is>
      </c>
      <c r="P2" s="2" t="inlineStr">
        <is>
          <t>Finding</t>
        </is>
      </c>
      <c r="Q2" s="2" t="inlineStr">
        <is>
          <t>My notes / supplier response</t>
        </is>
      </c>
    </row>
    <row r="3">
      <c r="A3" s="3" t="n">
        <v>1</v>
      </c>
      <c r="B3" s="3" t="inlineStr">
        <is>
          <t>A</t>
        </is>
      </c>
      <c r="C3" s="3" t="inlineStr">
        <is>
          <t>5CLWS2460</t>
        </is>
      </c>
      <c r="D3" s="3" t="inlineStr">
        <is>
          <t>5clws2460.pdf</t>
        </is>
      </c>
      <c r="E3" s="3" t="n">
        <v>5</v>
      </c>
      <c r="F3" s="3" t="inlineStr">
        <is>
          <t>1524 x 609</t>
        </is>
      </c>
      <c r="G3" s="3" t="inlineStr">
        <is>
          <t>None</t>
        </is>
      </c>
      <c r="H3" s="3" t="inlineStr">
        <is>
          <t>16 x Ø3 depth 3 pilot (4 per corner)</t>
        </is>
      </c>
      <c r="I3" s="3" t="inlineStr">
        <is>
          <t>1 pc / pack</t>
        </is>
      </c>
      <c r="J3" s="3" t="inlineStr">
        <is>
          <t>4 pilot holes at each corner, 3 colors / 3 sizes, 1 pc per pack</t>
        </is>
      </c>
      <c r="K3" s="3" t="inlineStr">
        <is>
          <t>Pre-checked</t>
        </is>
      </c>
      <c r="L3" s="3" t="inlineStr">
        <is>
          <t>Pre-checked</t>
        </is>
      </c>
      <c r="M3" s="3" t="inlineStr">
        <is>
          <t>Pre-checked</t>
        </is>
      </c>
      <c r="N3" s="3" t="inlineStr">
        <is>
          <t>Pre-checked</t>
        </is>
      </c>
      <c r="O3" s="3">
        <f>IF(COUNTIF(K3:N3,"Issue")&gt;0,"Issue",IF(COUNTIF(K3:N3,"Not received")&gt;0,"Not received",IF(COUNTIF(K3:N3,"Confirmed")=4,"Confirmed",IF(COUNTIF(K3:N3,"Not checked")=4,"Not checked","Pre-checked"))))</f>
        <v/>
      </c>
      <c r="P3" s="3" t="inlineStr">
        <is>
          <t>Color not shown on drawing.</t>
        </is>
      </c>
      <c r="Q3" s="3" t="inlineStr"/>
    </row>
    <row r="4">
      <c r="A4" s="3" t="n">
        <v>2</v>
      </c>
      <c r="B4" s="3" t="inlineStr">
        <is>
          <t>A</t>
        </is>
      </c>
      <c r="C4" s="3" t="inlineStr">
        <is>
          <t>5CLWS2472</t>
        </is>
      </c>
      <c r="D4" s="3" t="inlineStr">
        <is>
          <t>5CLWS2472.pdf</t>
        </is>
      </c>
      <c r="E4" s="3" t="n">
        <v>6</v>
      </c>
      <c r="F4" s="3" t="inlineStr">
        <is>
          <t>1829 x 609</t>
        </is>
      </c>
      <c r="G4" s="3" t="inlineStr">
        <is>
          <t>None</t>
        </is>
      </c>
      <c r="H4" s="3" t="inlineStr">
        <is>
          <t>16 x Ø3 depth 3 pilot (4 per corner)</t>
        </is>
      </c>
      <c r="I4" s="3" t="inlineStr">
        <is>
          <t>1 pc / pack</t>
        </is>
      </c>
      <c r="J4" s="3" t="inlineStr">
        <is>
          <t>4 pilot holes at each corner, 3 colors / 3 sizes, 1 pc per pack</t>
        </is>
      </c>
      <c r="K4" s="3" t="inlineStr">
        <is>
          <t>Pre-checked</t>
        </is>
      </c>
      <c r="L4" s="3" t="inlineStr">
        <is>
          <t>Pre-checked</t>
        </is>
      </c>
      <c r="M4" s="3" t="inlineStr">
        <is>
          <t>Pre-checked</t>
        </is>
      </c>
      <c r="N4" s="3" t="inlineStr">
        <is>
          <t>Pre-checked</t>
        </is>
      </c>
      <c r="O4" s="3">
        <f>IF(COUNTIF(K4:N4,"Issue")&gt;0,"Issue",IF(COUNTIF(K4:N4,"Not received")&gt;0,"Not received",IF(COUNTIF(K4:N4,"Confirmed")=4,"Confirmed",IF(COUNTIF(K4:N4,"Not checked")=4,"Not checked","Pre-checked"))))</f>
        <v/>
      </c>
      <c r="P4" s="3" t="inlineStr">
        <is>
          <t>Color not shown on drawing.</t>
        </is>
      </c>
      <c r="Q4" s="3" t="inlineStr"/>
    </row>
    <row r="5">
      <c r="A5" s="3" t="n">
        <v>3</v>
      </c>
      <c r="B5" s="3" t="inlineStr">
        <is>
          <t>A</t>
        </is>
      </c>
      <c r="C5" s="3" t="inlineStr">
        <is>
          <t>5CLWS3060</t>
        </is>
      </c>
      <c r="D5" s="3" t="inlineStr">
        <is>
          <t>5CLWS3060.pdf</t>
        </is>
      </c>
      <c r="E5" s="3" t="n">
        <v>7</v>
      </c>
      <c r="F5" s="3" t="inlineStr">
        <is>
          <t>1524 x 762</t>
        </is>
      </c>
      <c r="G5" s="3" t="inlineStr">
        <is>
          <t>None</t>
        </is>
      </c>
      <c r="H5" s="3" t="inlineStr">
        <is>
          <t>16 x Ø3 depth 3 pilot (4 per corner)</t>
        </is>
      </c>
      <c r="I5" s="3" t="inlineStr">
        <is>
          <t>1 pc / pack</t>
        </is>
      </c>
      <c r="J5" s="3" t="inlineStr">
        <is>
          <t>4 pilot holes at each corner, 3 colors / 3 sizes, 1 pc per pack</t>
        </is>
      </c>
      <c r="K5" s="3" t="inlineStr">
        <is>
          <t>Pre-checked</t>
        </is>
      </c>
      <c r="L5" s="3" t="inlineStr">
        <is>
          <t>Pre-checked</t>
        </is>
      </c>
      <c r="M5" s="3" t="inlineStr">
        <is>
          <t>Pre-checked</t>
        </is>
      </c>
      <c r="N5" s="3" t="inlineStr">
        <is>
          <t>Pre-checked</t>
        </is>
      </c>
      <c r="O5" s="3">
        <f>IF(COUNTIF(K5:N5,"Issue")&gt;0,"Issue",IF(COUNTIF(K5:N5,"Not received")&gt;0,"Not received",IF(COUNTIF(K5:N5,"Confirmed")=4,"Confirmed",IF(COUNTIF(K5:N5,"Not checked")=4,"Not checked","Pre-checked"))))</f>
        <v/>
      </c>
      <c r="P5" s="3" t="inlineStr">
        <is>
          <t>Color not shown on drawing.</t>
        </is>
      </c>
      <c r="Q5" s="3" t="inlineStr"/>
    </row>
    <row r="6">
      <c r="A6" s="3" t="n">
        <v>4</v>
      </c>
      <c r="B6" s="3" t="inlineStr">
        <is>
          <t>B</t>
        </is>
      </c>
      <c r="C6" s="3" t="inlineStr">
        <is>
          <t>5QWMU2442G2</t>
        </is>
      </c>
      <c r="D6" s="3" t="inlineStr">
        <is>
          <t>5QWMU2442G2.pdf</t>
        </is>
      </c>
      <c r="E6" s="3" t="n">
        <v>8</v>
      </c>
      <c r="F6" s="3" t="inlineStr">
        <is>
          <t>1067 x 609</t>
        </is>
      </c>
      <c r="G6" s="3" t="inlineStr">
        <is>
          <t>1 x Ø60, 76 from top, centered</t>
        </is>
      </c>
      <c r="H6" s="3" t="inlineStr">
        <is>
          <t>16 x Ø3 depth 3 pilot (4 per corner)</t>
        </is>
      </c>
      <c r="I6" s="3" t="inlineStr">
        <is>
          <t>1 pc / pack</t>
        </is>
      </c>
      <c r="J6" s="3" t="inlineStr">
        <is>
          <t>4 pilot holes at each corner, circular grommet, 1 pc per pack</t>
        </is>
      </c>
      <c r="K6" s="3" t="inlineStr">
        <is>
          <t>Pre-checked</t>
        </is>
      </c>
      <c r="L6" s="3" t="inlineStr">
        <is>
          <t>Pre-checked</t>
        </is>
      </c>
      <c r="M6" s="3" t="inlineStr">
        <is>
          <t>Pre-checked</t>
        </is>
      </c>
      <c r="N6" s="3" t="inlineStr">
        <is>
          <t>Pre-checked</t>
        </is>
      </c>
      <c r="O6" s="3">
        <f>IF(COUNTIF(K6:N6,"Issue")&gt;0,"Issue",IF(COUNTIF(K6:N6,"Not received")&gt;0,"Not received",IF(COUNTIF(K6:N6,"Confirmed")=4,"Confirmed",IF(COUNTIF(K6:N6,"Not checked")=4,"Not checked","Pre-checked"))))</f>
        <v/>
      </c>
      <c r="P6" s="3" t="inlineStr">
        <is>
          <t>ABS white brush wire box included.</t>
        </is>
      </c>
      <c r="Q6" s="3" t="inlineStr"/>
    </row>
    <row r="7">
      <c r="A7" s="3" t="n">
        <v>5</v>
      </c>
      <c r="B7" s="3" t="inlineStr">
        <is>
          <t>B</t>
        </is>
      </c>
      <c r="C7" s="3" t="inlineStr">
        <is>
          <t>5QWMU2448G2</t>
        </is>
      </c>
      <c r="D7" s="3" t="inlineStr">
        <is>
          <t>5QWMU2448G2.pdf</t>
        </is>
      </c>
      <c r="E7" s="3" t="n">
        <v>9</v>
      </c>
      <c r="F7" s="3" t="inlineStr">
        <is>
          <t>1219 x 609</t>
        </is>
      </c>
      <c r="G7" s="3" t="inlineStr">
        <is>
          <t>1 x Ø60, 76 from top, centered</t>
        </is>
      </c>
      <c r="H7" s="3" t="inlineStr">
        <is>
          <t>16 x Ø3 depth 3 pilot (4 per corner)</t>
        </is>
      </c>
      <c r="I7" s="3" t="inlineStr">
        <is>
          <t>1 pc / pack</t>
        </is>
      </c>
      <c r="J7" s="3" t="inlineStr">
        <is>
          <t>4 pilot holes at each corner, circular grommet, 1 pc per pack</t>
        </is>
      </c>
      <c r="K7" s="3" t="inlineStr">
        <is>
          <t>Pre-checked</t>
        </is>
      </c>
      <c r="L7" s="3" t="inlineStr">
        <is>
          <t>Pre-checked</t>
        </is>
      </c>
      <c r="M7" s="3" t="inlineStr">
        <is>
          <t>Pre-checked</t>
        </is>
      </c>
      <c r="N7" s="3" t="inlineStr">
        <is>
          <t>Pre-checked</t>
        </is>
      </c>
      <c r="O7" s="3">
        <f>IF(COUNTIF(K7:N7,"Issue")&gt;0,"Issue",IF(COUNTIF(K7:N7,"Not received")&gt;0,"Not received",IF(COUNTIF(K7:N7,"Confirmed")=4,"Confirmed",IF(COUNTIF(K7:N7,"Not checked")=4,"Not checked","Pre-checked"))))</f>
        <v/>
      </c>
      <c r="P7" s="3" t="inlineStr">
        <is>
          <t>ABS white brush wire box included.</t>
        </is>
      </c>
      <c r="Q7" s="3" t="inlineStr"/>
    </row>
    <row r="8">
      <c r="A8" s="3" t="n">
        <v>6</v>
      </c>
      <c r="B8" s="3" t="inlineStr">
        <is>
          <t>B</t>
        </is>
      </c>
      <c r="C8" s="3" t="inlineStr">
        <is>
          <t>5QWMU2460G2</t>
        </is>
      </c>
      <c r="D8" s="3" t="inlineStr">
        <is>
          <t>(not received)</t>
        </is>
      </c>
      <c r="E8" s="3" t="n">
        <v>10</v>
      </c>
      <c r="F8" s="3" t="inlineStr"/>
      <c r="G8" s="3" t="inlineStr"/>
      <c r="H8" s="3" t="inlineStr"/>
      <c r="I8" s="3" t="inlineStr"/>
      <c r="J8" s="3" t="inlineStr">
        <is>
          <t>4 pilot holes at each corner, circular grommet, 1 pc per pack</t>
        </is>
      </c>
      <c r="K8" s="3" t="inlineStr">
        <is>
          <t>Not received</t>
        </is>
      </c>
      <c r="L8" s="3" t="inlineStr">
        <is>
          <t>Not received</t>
        </is>
      </c>
      <c r="M8" s="3" t="inlineStr">
        <is>
          <t>Not received</t>
        </is>
      </c>
      <c r="N8" s="3" t="inlineStr">
        <is>
          <t>Not received</t>
        </is>
      </c>
      <c r="O8" s="3">
        <f>IF(COUNTIF(K8:N8,"Issue")&gt;0,"Issue",IF(COUNTIF(K8:N8,"Not received")&gt;0,"Not received",IF(COUNTIF(K8:N8,"Confirmed")=4,"Confirmed",IF(COUNTIF(K8:N8,"Not checked")=4,"Not checked","Pre-checked"))))</f>
        <v/>
      </c>
      <c r="P8" s="3" t="inlineStr">
        <is>
          <t>Drawing not in the files sent. Ask supplier.</t>
        </is>
      </c>
      <c r="Q8" s="3" t="inlineStr"/>
    </row>
    <row r="9">
      <c r="A9" s="3" t="n">
        <v>7</v>
      </c>
      <c r="B9" s="3" t="inlineStr">
        <is>
          <t>B</t>
        </is>
      </c>
      <c r="C9" s="3" t="inlineStr">
        <is>
          <t>5QWMU2472G2</t>
        </is>
      </c>
      <c r="D9" s="3" t="inlineStr">
        <is>
          <t>5QWMU2472G2.pdf</t>
        </is>
      </c>
      <c r="E9" s="3" t="n">
        <v>11</v>
      </c>
      <c r="F9" s="3" t="inlineStr">
        <is>
          <t>1829 x 609</t>
        </is>
      </c>
      <c r="G9" s="3" t="inlineStr">
        <is>
          <t>2 x Ø60, 76 from top, 457.5 | 914 | 457.5</t>
        </is>
      </c>
      <c r="H9" s="3" t="inlineStr">
        <is>
          <t>16 x Ø3 depth 3 pilot (4 per corner)</t>
        </is>
      </c>
      <c r="I9" s="3" t="inlineStr">
        <is>
          <t>1 pc / pack</t>
        </is>
      </c>
      <c r="J9" s="3" t="inlineStr">
        <is>
          <t>4 pilot holes at each corner, circular grommet, 1 pc per pack</t>
        </is>
      </c>
      <c r="K9" s="3" t="inlineStr">
        <is>
          <t>Pre-checked</t>
        </is>
      </c>
      <c r="L9" s="3" t="inlineStr">
        <is>
          <t>Pre-checked</t>
        </is>
      </c>
      <c r="M9" s="3" t="inlineStr">
        <is>
          <t>Pre-checked</t>
        </is>
      </c>
      <c r="N9" s="3" t="inlineStr">
        <is>
          <t>Pre-checked</t>
        </is>
      </c>
      <c r="O9" s="3">
        <f>IF(COUNTIF(K9:N9,"Issue")&gt;0,"Issue",IF(COUNTIF(K9:N9,"Not received")&gt;0,"Not received",IF(COUNTIF(K9:N9,"Confirmed")=4,"Confirmed",IF(COUNTIF(K9:N9,"Not checked")=4,"Not checked","Pre-checked"))))</f>
        <v/>
      </c>
      <c r="P9" s="3" t="inlineStr">
        <is>
          <t>ABS white brush wire box included.</t>
        </is>
      </c>
      <c r="Q9" s="3" t="inlineStr"/>
    </row>
    <row r="10">
      <c r="A10" s="3" t="n">
        <v>8</v>
      </c>
      <c r="B10" s="3" t="inlineStr">
        <is>
          <t>B</t>
        </is>
      </c>
      <c r="C10" s="3" t="inlineStr">
        <is>
          <t>5QWMU3060G2</t>
        </is>
      </c>
      <c r="D10" s="3" t="inlineStr">
        <is>
          <t>5QWMU3060G2.pdf</t>
        </is>
      </c>
      <c r="E10" s="3" t="n">
        <v>12</v>
      </c>
      <c r="F10" s="3" t="inlineStr">
        <is>
          <t>1524 x 762</t>
        </is>
      </c>
      <c r="G10" s="3" t="inlineStr">
        <is>
          <t>1 x Ø60, 76 from top, centered</t>
        </is>
      </c>
      <c r="H10" s="3" t="inlineStr">
        <is>
          <t>16 x Ø3 depth 3 pilot (4 per corner)</t>
        </is>
      </c>
      <c r="I10" s="3" t="inlineStr">
        <is>
          <t>1 pc / pack</t>
        </is>
      </c>
      <c r="J10" s="3" t="inlineStr">
        <is>
          <t>4 pilot holes at each corner, circular grommet, 1 pc per pack</t>
        </is>
      </c>
      <c r="K10" s="3" t="inlineStr">
        <is>
          <t>Pre-checked</t>
        </is>
      </c>
      <c r="L10" s="3" t="inlineStr">
        <is>
          <t>Pre-checked</t>
        </is>
      </c>
      <c r="M10" s="3" t="inlineStr">
        <is>
          <t>Pre-checked</t>
        </is>
      </c>
      <c r="N10" s="3" t="inlineStr">
        <is>
          <t>Pre-checked</t>
        </is>
      </c>
      <c r="O10" s="3">
        <f>IF(COUNTIF(K10:N10,"Issue")&gt;0,"Issue",IF(COUNTIF(K10:N10,"Not received")&gt;0,"Not received",IF(COUNTIF(K10:N10,"Confirmed")=4,"Confirmed",IF(COUNTIF(K10:N10,"Not checked")=4,"Not checked","Pre-checked"))))</f>
        <v/>
      </c>
      <c r="P10" s="3" t="inlineStr">
        <is>
          <t>ABS white brush wire box included.</t>
        </is>
      </c>
      <c r="Q10" s="3" t="inlineStr"/>
    </row>
    <row r="11">
      <c r="A11" s="3" t="n">
        <v>9</v>
      </c>
      <c r="B11" s="3" t="inlineStr">
        <is>
          <t>B</t>
        </is>
      </c>
      <c r="C11" s="3" t="inlineStr">
        <is>
          <t>5QWMU3072G2</t>
        </is>
      </c>
      <c r="D11" s="3" t="inlineStr">
        <is>
          <t>5QWMU3072G2.pdf</t>
        </is>
      </c>
      <c r="E11" s="3" t="n">
        <v>13</v>
      </c>
      <c r="F11" s="3" t="inlineStr">
        <is>
          <t>1829 x 762</t>
        </is>
      </c>
      <c r="G11" s="3" t="inlineStr">
        <is>
          <t>2 x Ø60, 76 from top, 457.5 | 914 | 457.5</t>
        </is>
      </c>
      <c r="H11" s="3" t="inlineStr">
        <is>
          <t>16 x Ø3 depth 3 pilot (4 per corner)</t>
        </is>
      </c>
      <c r="I11" s="3" t="inlineStr">
        <is>
          <t>1 pc / pack</t>
        </is>
      </c>
      <c r="J11" s="3" t="inlineStr">
        <is>
          <t>4 pilot holes at each corner, circular grommet, 1 pc per pack</t>
        </is>
      </c>
      <c r="K11" s="3" t="inlineStr">
        <is>
          <t>Pre-checked</t>
        </is>
      </c>
      <c r="L11" s="3" t="inlineStr">
        <is>
          <t>Pre-checked</t>
        </is>
      </c>
      <c r="M11" s="3" t="inlineStr">
        <is>
          <t>Pre-checked</t>
        </is>
      </c>
      <c r="N11" s="3" t="inlineStr">
        <is>
          <t>Pre-checked</t>
        </is>
      </c>
      <c r="O11" s="3">
        <f>IF(COUNTIF(K11:N11,"Issue")&gt;0,"Issue",IF(COUNTIF(K11:N11,"Not received")&gt;0,"Not received",IF(COUNTIF(K11:N11,"Confirmed")=4,"Confirmed",IF(COUNTIF(K11:N11,"Not checked")=4,"Not checked","Pre-checked"))))</f>
        <v/>
      </c>
      <c r="P11" s="3" t="inlineStr">
        <is>
          <t>ABS white brush wire box included.</t>
        </is>
      </c>
      <c r="Q11" s="3" t="inlineStr"/>
    </row>
    <row r="12">
      <c r="A12" s="3" t="n">
        <v>10</v>
      </c>
      <c r="B12" s="3" t="inlineStr">
        <is>
          <t>C</t>
        </is>
      </c>
      <c r="C12" s="3" t="inlineStr">
        <is>
          <t>5CWS2448W12</t>
        </is>
      </c>
      <c r="D12" s="3" t="inlineStr">
        <is>
          <t>5CWS2448W12.pdf</t>
        </is>
      </c>
      <c r="E12" s="3" t="n">
        <v>14</v>
      </c>
      <c r="F12" s="3" t="inlineStr">
        <is>
          <t>1219 x 609</t>
        </is>
      </c>
      <c r="G12" s="3" t="inlineStr">
        <is>
          <t>290 x 111, centered (464.5 each side), 38 from top</t>
        </is>
      </c>
      <c r="H12" s="3" t="inlineStr">
        <is>
          <t>12 x Ø8 d20 / Ø13x90°, 2 x Ø3 d3 pilot</t>
        </is>
      </c>
      <c r="I12" s="3" t="inlineStr">
        <is>
          <t>1 pc / pack</t>
        </is>
      </c>
      <c r="J12" s="3" t="inlineStr">
        <is>
          <t>12 M6 inserts, 2 pilot holes, square grommet 290 mm, 1 pc per pack</t>
        </is>
      </c>
      <c r="K12" s="3" t="inlineStr">
        <is>
          <t>Pre-checked</t>
        </is>
      </c>
      <c r="L12" s="3" t="inlineStr">
        <is>
          <t>Pre-checked</t>
        </is>
      </c>
      <c r="M12" s="3" t="inlineStr">
        <is>
          <t>Pre-checked</t>
        </is>
      </c>
      <c r="N12" s="3" t="inlineStr">
        <is>
          <t>Pre-checked</t>
        </is>
      </c>
      <c r="O12" s="3">
        <f>IF(COUNTIF(K12:N12,"Issue")&gt;0,"Issue",IF(COUNTIF(K12:N12,"Not received")&gt;0,"Not received",IF(COUNTIF(K12:N12,"Confirmed")=4,"Confirmed",IF(COUNTIF(K12:N12,"Not checked")=4,"Not checked","Pre-checked"))))</f>
        <v/>
      </c>
      <c r="P12" s="3" t="inlineStr">
        <is>
          <t>Only 1 pilot hole dimensioned. M6 insert not named.</t>
        </is>
      </c>
      <c r="Q12" s="3" t="inlineStr"/>
    </row>
    <row r="13">
      <c r="A13" s="3" t="n">
        <v>11</v>
      </c>
      <c r="B13" s="3" t="inlineStr">
        <is>
          <t>C</t>
        </is>
      </c>
      <c r="C13" s="3" t="inlineStr">
        <is>
          <t>5CWS2460W12</t>
        </is>
      </c>
      <c r="D13" s="3" t="inlineStr">
        <is>
          <t>5CWS2460W12.pdf</t>
        </is>
      </c>
      <c r="E13" s="3" t="n">
        <v>15</v>
      </c>
      <c r="F13" s="3" t="inlineStr">
        <is>
          <t>1524 x 609</t>
        </is>
      </c>
      <c r="G13" s="3" t="inlineStr">
        <is>
          <t>290 x 111, centered (617 each side), 38 from top</t>
        </is>
      </c>
      <c r="H13" s="3" t="inlineStr">
        <is>
          <t>12 x Ø8 d20 / Ø13x90°, 2 x Ø3 d3 pilot</t>
        </is>
      </c>
      <c r="I13" s="3" t="inlineStr">
        <is>
          <t>1 pc / pack</t>
        </is>
      </c>
      <c r="J13" s="3" t="inlineStr">
        <is>
          <t>12 M6 inserts, 2 pilot holes, square grommet 290 mm, 1 pc per pack</t>
        </is>
      </c>
      <c r="K13" s="3" t="inlineStr">
        <is>
          <t>Pre-checked</t>
        </is>
      </c>
      <c r="L13" s="3" t="inlineStr">
        <is>
          <t>Pre-checked</t>
        </is>
      </c>
      <c r="M13" s="3" t="inlineStr">
        <is>
          <t>Pre-checked</t>
        </is>
      </c>
      <c r="N13" s="3" t="inlineStr">
        <is>
          <t>Pre-checked</t>
        </is>
      </c>
      <c r="O13" s="3">
        <f>IF(COUNTIF(K13:N13,"Issue")&gt;0,"Issue",IF(COUNTIF(K13:N13,"Not received")&gt;0,"Not received",IF(COUNTIF(K13:N13,"Confirmed")=4,"Confirmed",IF(COUNTIF(K13:N13,"Not checked")=4,"Not checked","Pre-checked"))))</f>
        <v/>
      </c>
      <c r="P13" s="3" t="inlineStr">
        <is>
          <t>Only 1 pilot hole dimensioned. M6 insert not named.</t>
        </is>
      </c>
      <c r="Q13" s="3" t="inlineStr"/>
    </row>
    <row r="14">
      <c r="A14" s="3" t="n">
        <v>12</v>
      </c>
      <c r="B14" s="3" t="inlineStr">
        <is>
          <t>C</t>
        </is>
      </c>
      <c r="C14" s="3" t="inlineStr">
        <is>
          <t>5CWS2472W12</t>
        </is>
      </c>
      <c r="D14" s="3" t="inlineStr">
        <is>
          <t>5CWS2472W12.pdf</t>
        </is>
      </c>
      <c r="E14" s="3" t="n">
        <v>16</v>
      </c>
      <c r="F14" s="3" t="inlineStr">
        <is>
          <t>1829 x 609</t>
        </is>
      </c>
      <c r="G14" s="3" t="inlineStr">
        <is>
          <t>290 x 111, centered (769.5 each side), 38 from top</t>
        </is>
      </c>
      <c r="H14" s="3" t="inlineStr">
        <is>
          <t>12 x Ø8 d20 / Ø13x90°, 2 x Ø3 d3 pilot</t>
        </is>
      </c>
      <c r="I14" s="3" t="inlineStr">
        <is>
          <t>1 pc / pack</t>
        </is>
      </c>
      <c r="J14" s="3" t="inlineStr">
        <is>
          <t>12 M6 inserts, 2 pilot holes, square grommet 290 mm, 1 pc per pack</t>
        </is>
      </c>
      <c r="K14" s="3" t="inlineStr">
        <is>
          <t>Pre-checked</t>
        </is>
      </c>
      <c r="L14" s="3" t="inlineStr">
        <is>
          <t>Pre-checked</t>
        </is>
      </c>
      <c r="M14" s="3" t="inlineStr">
        <is>
          <t>Pre-checked</t>
        </is>
      </c>
      <c r="N14" s="3" t="inlineStr">
        <is>
          <t>Pre-checked</t>
        </is>
      </c>
      <c r="O14" s="3">
        <f>IF(COUNTIF(K14:N14,"Issue")&gt;0,"Issue",IF(COUNTIF(K14:N14,"Not received")&gt;0,"Not received",IF(COUNTIF(K14:N14,"Confirmed")=4,"Confirmed",IF(COUNTIF(K14:N14,"Not checked")=4,"Not checked","Pre-checked"))))</f>
        <v/>
      </c>
      <c r="P14" s="3" t="inlineStr">
        <is>
          <t>Only 1 pilot hole dimensioned. M6 insert not named.</t>
        </is>
      </c>
      <c r="Q14" s="3" t="inlineStr"/>
    </row>
    <row r="15">
      <c r="A15" s="3" t="n">
        <v>13</v>
      </c>
      <c r="B15" s="3" t="inlineStr">
        <is>
          <t>C</t>
        </is>
      </c>
      <c r="C15" s="3" t="inlineStr">
        <is>
          <t>5CWS3048W12</t>
        </is>
      </c>
      <c r="D15" s="3" t="inlineStr">
        <is>
          <t>5CWS3048W12.pdf</t>
        </is>
      </c>
      <c r="E15" s="3" t="n">
        <v>17</v>
      </c>
      <c r="F15" s="3" t="inlineStr">
        <is>
          <t>1219 x 762</t>
        </is>
      </c>
      <c r="G15" s="3" t="inlineStr">
        <is>
          <t>290 x 111, centered (464.5 each side), 38 from top</t>
        </is>
      </c>
      <c r="H15" s="3" t="inlineStr">
        <is>
          <t>12 x Ø8 d20 / Ø13x90°, 2 x Ø3 d3 pilot</t>
        </is>
      </c>
      <c r="I15" s="3" t="inlineStr">
        <is>
          <t>1 pc / pack</t>
        </is>
      </c>
      <c r="J15" s="3" t="inlineStr">
        <is>
          <t>12 M6 inserts, 2 pilot holes, square grommet 290 mm, 1 pc per pack</t>
        </is>
      </c>
      <c r="K15" s="3" t="inlineStr">
        <is>
          <t>Pre-checked</t>
        </is>
      </c>
      <c r="L15" s="3" t="inlineStr">
        <is>
          <t>Pre-checked</t>
        </is>
      </c>
      <c r="M15" s="3" t="inlineStr">
        <is>
          <t>Pre-checked</t>
        </is>
      </c>
      <c r="N15" s="3" t="inlineStr">
        <is>
          <t>Pre-checked</t>
        </is>
      </c>
      <c r="O15" s="3">
        <f>IF(COUNTIF(K15:N15,"Issue")&gt;0,"Issue",IF(COUNTIF(K15:N15,"Not received")&gt;0,"Not received",IF(COUNTIF(K15:N15,"Confirmed")=4,"Confirmed",IF(COUNTIF(K15:N15,"Not checked")=4,"Not checked","Pre-checked"))))</f>
        <v/>
      </c>
      <c r="P15" s="3" t="inlineStr">
        <is>
          <t>Only 1 pilot hole dimensioned. M6 insert not named.</t>
        </is>
      </c>
      <c r="Q15" s="3" t="inlineStr"/>
    </row>
    <row r="16">
      <c r="A16" s="3" t="n">
        <v>14</v>
      </c>
      <c r="B16" s="3" t="inlineStr">
        <is>
          <t>C</t>
        </is>
      </c>
      <c r="C16" s="3" t="inlineStr">
        <is>
          <t>5CWS3060W12</t>
        </is>
      </c>
      <c r="D16" s="3" t="inlineStr">
        <is>
          <t>5CWS3060W12.pdf</t>
        </is>
      </c>
      <c r="E16" s="3" t="n">
        <v>18</v>
      </c>
      <c r="F16" s="3" t="inlineStr">
        <is>
          <t>1524 x 762</t>
        </is>
      </c>
      <c r="G16" s="3" t="inlineStr">
        <is>
          <t>290 x 111, centered (617 each side), 38 from top</t>
        </is>
      </c>
      <c r="H16" s="3" t="inlineStr">
        <is>
          <t>12 x Ø8 d20 / Ø13x90°, 2 x Ø3 d3 pilot</t>
        </is>
      </c>
      <c r="I16" s="3" t="inlineStr">
        <is>
          <t>1 pc / pack</t>
        </is>
      </c>
      <c r="J16" s="3" t="inlineStr">
        <is>
          <t>12 M6 inserts, 2 pilot holes, square grommet 290 mm, 1 pc per pack</t>
        </is>
      </c>
      <c r="K16" s="3" t="inlineStr">
        <is>
          <t>Pre-checked</t>
        </is>
      </c>
      <c r="L16" s="3" t="inlineStr">
        <is>
          <t>Pre-checked</t>
        </is>
      </c>
      <c r="M16" s="3" t="inlineStr">
        <is>
          <t>Pre-checked</t>
        </is>
      </c>
      <c r="N16" s="3" t="inlineStr">
        <is>
          <t>Pre-checked</t>
        </is>
      </c>
      <c r="O16" s="3">
        <f>IF(COUNTIF(K16:N16,"Issue")&gt;0,"Issue",IF(COUNTIF(K16:N16,"Not received")&gt;0,"Not received",IF(COUNTIF(K16:N16,"Confirmed")=4,"Confirmed",IF(COUNTIF(K16:N16,"Not checked")=4,"Not checked","Pre-checked"))))</f>
        <v/>
      </c>
      <c r="P16" s="3" t="inlineStr">
        <is>
          <t>Only 1 pilot hole dimensioned. M6 insert not named.</t>
        </is>
      </c>
      <c r="Q16" s="3" t="inlineStr"/>
    </row>
    <row r="17">
      <c r="A17" s="3" t="n">
        <v>15</v>
      </c>
      <c r="B17" s="3" t="inlineStr">
        <is>
          <t>C</t>
        </is>
      </c>
      <c r="C17" s="3" t="inlineStr">
        <is>
          <t>5CWS3072W12</t>
        </is>
      </c>
      <c r="D17" s="3" t="inlineStr">
        <is>
          <t>5CWS3072W12.pdf</t>
        </is>
      </c>
      <c r="E17" s="3" t="n">
        <v>19</v>
      </c>
      <c r="F17" s="3" t="inlineStr">
        <is>
          <t>1829 x 762</t>
        </is>
      </c>
      <c r="G17" s="3" t="inlineStr">
        <is>
          <t>290 x 111, centered (769.5 each side), 38 from top</t>
        </is>
      </c>
      <c r="H17" s="3" t="inlineStr">
        <is>
          <t>12 x Ø8 d20 / Ø13x90°, 2 x Ø3 d3 pilot</t>
        </is>
      </c>
      <c r="I17" s="3" t="inlineStr">
        <is>
          <t>1 pc / pack</t>
        </is>
      </c>
      <c r="J17" s="3" t="inlineStr">
        <is>
          <t>12 M6 inserts, 2 pilot holes, square grommet 290 mm, 1 pc per pack</t>
        </is>
      </c>
      <c r="K17" s="3" t="inlineStr">
        <is>
          <t>Pre-checked</t>
        </is>
      </c>
      <c r="L17" s="3" t="inlineStr">
        <is>
          <t>Pre-checked</t>
        </is>
      </c>
      <c r="M17" s="3" t="inlineStr">
        <is>
          <t>Pre-checked</t>
        </is>
      </c>
      <c r="N17" s="3" t="inlineStr">
        <is>
          <t>Pre-checked</t>
        </is>
      </c>
      <c r="O17" s="3">
        <f>IF(COUNTIF(K17:N17,"Issue")&gt;0,"Issue",IF(COUNTIF(K17:N17,"Not received")&gt;0,"Not received",IF(COUNTIF(K17:N17,"Confirmed")=4,"Confirmed",IF(COUNTIF(K17:N17,"Not checked")=4,"Not checked","Pre-checked"))))</f>
        <v/>
      </c>
      <c r="P17" s="3" t="inlineStr">
        <is>
          <t>Only 1 pilot hole dimensioned. M6 insert not named.</t>
        </is>
      </c>
      <c r="Q17" s="3" t="inlineStr"/>
    </row>
    <row r="18">
      <c r="A18" s="3" t="n">
        <v>16</v>
      </c>
      <c r="B18" s="3" t="inlineStr">
        <is>
          <t>D</t>
        </is>
      </c>
      <c r="C18" s="3" t="inlineStr">
        <is>
          <t>5CWS-M2448-W</t>
        </is>
      </c>
      <c r="D18" s="3" t="inlineStr">
        <is>
          <t>5CWS-M2448-W.pdf</t>
        </is>
      </c>
      <c r="E18" s="3" t="n">
        <v>20</v>
      </c>
      <c r="F18" s="3" t="inlineStr">
        <is>
          <t>1219 x 609</t>
        </is>
      </c>
      <c r="G18" s="3" t="inlineStr">
        <is>
          <t>224 x 104, centered (497.5 each side)</t>
        </is>
      </c>
      <c r="H18" s="3" t="inlineStr">
        <is>
          <t>12 x Ø8 d20 / Ø13x90°, 2 x Ø3 d3 pilot</t>
        </is>
      </c>
      <c r="I18" s="3" t="inlineStr">
        <is>
          <t>2 pcs / pack</t>
        </is>
      </c>
      <c r="J18" s="3" t="inlineStr">
        <is>
          <t>Same as C, square grommet 224 mm, 2 pcs per pack</t>
        </is>
      </c>
      <c r="K18" s="3" t="inlineStr">
        <is>
          <t>Pre-checked</t>
        </is>
      </c>
      <c r="L18" s="3" t="inlineStr">
        <is>
          <t>Pre-checked</t>
        </is>
      </c>
      <c r="M18" s="3" t="inlineStr">
        <is>
          <t>Pre-checked</t>
        </is>
      </c>
      <c r="N18" s="3" t="inlineStr">
        <is>
          <t>Pre-checked</t>
        </is>
      </c>
      <c r="O18" s="3">
        <f>IF(COUNTIF(K18:N18,"Issue")&gt;0,"Issue",IF(COUNTIF(K18:N18,"Not received")&gt;0,"Not received",IF(COUNTIF(K18:N18,"Confirmed")=4,"Confirmed",IF(COUNTIF(K18:N18,"Not checked")=4,"Not checked","Pre-checked"))))</f>
        <v/>
      </c>
      <c r="P18" s="3" t="inlineStr">
        <is>
          <t>White board, junction box not included.</t>
        </is>
      </c>
      <c r="Q18" s="3" t="inlineStr"/>
    </row>
    <row r="19">
      <c r="A19" s="3" t="n">
        <v>17</v>
      </c>
      <c r="B19" s="3" t="inlineStr">
        <is>
          <t>D</t>
        </is>
      </c>
      <c r="C19" s="3" t="inlineStr">
        <is>
          <t>5CWS-M2460-W</t>
        </is>
      </c>
      <c r="D19" s="3" t="inlineStr">
        <is>
          <t>5CWS-M2460-W.pdf</t>
        </is>
      </c>
      <c r="E19" s="3" t="n">
        <v>21</v>
      </c>
      <c r="F19" s="3" t="inlineStr">
        <is>
          <t>1524 x 609</t>
        </is>
      </c>
      <c r="G19" s="3" t="inlineStr">
        <is>
          <t>NONE</t>
        </is>
      </c>
      <c r="H19" s="3" t="inlineStr">
        <is>
          <t>16 x Ø3 pilot only (Group A layout)</t>
        </is>
      </c>
      <c r="I19" s="3" t="inlineStr">
        <is>
          <t>1 pc / pack</t>
        </is>
      </c>
      <c r="J19" s="3" t="inlineStr">
        <is>
          <t>Same as C, square grommet 224 mm, 2 pcs per pack</t>
        </is>
      </c>
      <c r="K19" s="3" t="inlineStr">
        <is>
          <t>Issue</t>
        </is>
      </c>
      <c r="L19" s="3" t="inlineStr">
        <is>
          <t>Pre-checked</t>
        </is>
      </c>
      <c r="M19" s="3" t="inlineStr">
        <is>
          <t>Issue</t>
        </is>
      </c>
      <c r="N19" s="3" t="inlineStr">
        <is>
          <t>Issue</t>
        </is>
      </c>
      <c r="O19" s="3">
        <f>IF(COUNTIF(K19:N19,"Issue")&gt;0,"Issue",IF(COUNTIF(K19:N19,"Not received")&gt;0,"Not received",IF(COUNTIF(K19:N19,"Confirmed")=4,"Confirmed",IF(COUNTIF(K19:N19,"Not checked")=4,"Not checked","Pre-checked"))))</f>
        <v/>
      </c>
      <c r="P19" s="3" t="inlineStr">
        <is>
          <t>WRONG DRAWING (confirmed). Copy of 5CLWS2460 layout: no cutout, no inserts, 1 pc per pack. Send correct original.</t>
        </is>
      </c>
      <c r="Q19" s="3" t="inlineStr"/>
    </row>
    <row r="20">
      <c r="A20" s="3" t="n">
        <v>18</v>
      </c>
      <c r="B20" s="3" t="inlineStr">
        <is>
          <t>D</t>
        </is>
      </c>
      <c r="C20" s="3" t="inlineStr">
        <is>
          <t>5CWS-M3048-W</t>
        </is>
      </c>
      <c r="D20" s="3" t="inlineStr">
        <is>
          <t>5CWS-M3048-W.pdf</t>
        </is>
      </c>
      <c r="E20" s="3" t="n">
        <v>22</v>
      </c>
      <c r="F20" s="3" t="inlineStr">
        <is>
          <t>1219 x 762</t>
        </is>
      </c>
      <c r="G20" s="3" t="inlineStr">
        <is>
          <t>224 x 104, centered (497.5 each side)</t>
        </is>
      </c>
      <c r="H20" s="3" t="inlineStr">
        <is>
          <t>12 x Ø8 d20 / Ø13x90°, 2 x Ø3 d3 pilot</t>
        </is>
      </c>
      <c r="I20" s="3" t="inlineStr">
        <is>
          <t>2 pcs / pack</t>
        </is>
      </c>
      <c r="J20" s="3" t="inlineStr">
        <is>
          <t>Same as C, square grommet 224 mm, 2 pcs per pack</t>
        </is>
      </c>
      <c r="K20" s="3" t="inlineStr">
        <is>
          <t>Pre-checked</t>
        </is>
      </c>
      <c r="L20" s="3" t="inlineStr">
        <is>
          <t>Pre-checked</t>
        </is>
      </c>
      <c r="M20" s="3" t="inlineStr">
        <is>
          <t>Pre-checked</t>
        </is>
      </c>
      <c r="N20" s="3" t="inlineStr">
        <is>
          <t>Pre-checked</t>
        </is>
      </c>
      <c r="O20" s="3">
        <f>IF(COUNTIF(K20:N20,"Issue")&gt;0,"Issue",IF(COUNTIF(K20:N20,"Not received")&gt;0,"Not received",IF(COUNTIF(K20:N20,"Confirmed")=4,"Confirmed",IF(COUNTIF(K20:N20,"Not checked")=4,"Not checked","Pre-checked"))))</f>
        <v/>
      </c>
      <c r="P20" s="3" t="inlineStr">
        <is>
          <t>White board, junction box not included.</t>
        </is>
      </c>
      <c r="Q20" s="3" t="inlineStr"/>
    </row>
    <row r="21">
      <c r="A21" s="3" t="n">
        <v>19</v>
      </c>
      <c r="B21" s="3" t="inlineStr">
        <is>
          <t>E</t>
        </is>
      </c>
      <c r="C21" s="3" t="inlineStr">
        <is>
          <t>5CWS-M2448-WHV2</t>
        </is>
      </c>
      <c r="D21" s="3" t="inlineStr">
        <is>
          <t>5CWS-M2448-WHV2.pdf</t>
        </is>
      </c>
      <c r="E21" s="3" t="n">
        <v>23</v>
      </c>
      <c r="F21" s="3" t="inlineStr">
        <is>
          <t>1219 x 609</t>
        </is>
      </c>
      <c r="G21" s="3" t="inlineStr">
        <is>
          <t>224 x 104 (NOT 389)</t>
        </is>
      </c>
      <c r="H21" s="3" t="inlineStr">
        <is>
          <t>12 x Ø8 d20 / Ø13x90°, 2 x Ø3 d3 pilot</t>
        </is>
      </c>
      <c r="I21" s="3" t="inlineStr">
        <is>
          <t>2 pcs / pack</t>
        </is>
      </c>
      <c r="J21" s="3" t="inlineStr">
        <is>
          <t>Same as C/D, square grommet 389 mm, 2 pcs per pack</t>
        </is>
      </c>
      <c r="K21" s="3" t="inlineStr">
        <is>
          <t>Pre-checked</t>
        </is>
      </c>
      <c r="L21" s="3" t="inlineStr">
        <is>
          <t>Pre-checked</t>
        </is>
      </c>
      <c r="M21" s="3" t="inlineStr">
        <is>
          <t>Issue</t>
        </is>
      </c>
      <c r="N21" s="3" t="inlineStr">
        <is>
          <t>Pre-checked</t>
        </is>
      </c>
      <c r="O21" s="3">
        <f>IF(COUNTIF(K21:N21,"Issue")&gt;0,"Issue",IF(COUNTIF(K21:N21,"Not received")&gt;0,"Not received",IF(COUNTIF(K21:N21,"Confirmed")=4,"Confirmed",IF(COUNTIF(K21:N21,"Not checked")=4,"Not checked","Pre-checked"))))</f>
        <v/>
      </c>
      <c r="P21" s="3" t="inlineStr">
        <is>
          <t>Cutout is 224, matches Group D, not Group E. Notes omit white board and junction box lines.</t>
        </is>
      </c>
      <c r="Q21" s="3" t="inlineStr"/>
    </row>
    <row r="22">
      <c r="A22" s="3" t="n">
        <v>20</v>
      </c>
      <c r="B22" s="3" t="inlineStr">
        <is>
          <t>E</t>
        </is>
      </c>
      <c r="C22" s="3" t="inlineStr">
        <is>
          <t>5CWS-M2460-WHV2</t>
        </is>
      </c>
      <c r="D22" s="3" t="inlineStr">
        <is>
          <t>5CWS-M2460-WHV2.pdf</t>
        </is>
      </c>
      <c r="E22" s="3" t="n">
        <v>24</v>
      </c>
      <c r="F22" s="3" t="inlineStr">
        <is>
          <t>1524 x 609</t>
        </is>
      </c>
      <c r="G22" s="3" t="inlineStr">
        <is>
          <t>389 x 106.5, centered (567.5 each side)</t>
        </is>
      </c>
      <c r="H22" s="3" t="inlineStr">
        <is>
          <t>12 x Ø8 d20 / Ø13x90°, 2 x Ø3 d3 pilot</t>
        </is>
      </c>
      <c r="I22" s="3" t="inlineStr">
        <is>
          <t>2 pcs / pack</t>
        </is>
      </c>
      <c r="J22" s="3" t="inlineStr">
        <is>
          <t>Same as C/D, square grommet 389 mm, 2 pcs per pack</t>
        </is>
      </c>
      <c r="K22" s="3" t="inlineStr">
        <is>
          <t>Pre-checked</t>
        </is>
      </c>
      <c r="L22" s="3" t="inlineStr">
        <is>
          <t>Pre-checked</t>
        </is>
      </c>
      <c r="M22" s="3" t="inlineStr">
        <is>
          <t>Pre-checked</t>
        </is>
      </c>
      <c r="N22" s="3" t="inlineStr">
        <is>
          <t>Pre-checked</t>
        </is>
      </c>
      <c r="O22" s="3">
        <f>IF(COUNTIF(K22:N22,"Issue")&gt;0,"Issue",IF(COUNTIF(K22:N22,"Not received")&gt;0,"Not received",IF(COUNTIF(K22:N22,"Confirmed")=4,"Confirmed",IF(COUNTIF(K22:N22,"Not checked")=4,"Not checked","Pre-checked"))))</f>
        <v/>
      </c>
      <c r="P22" s="3" t="inlineStr"/>
      <c r="Q22" s="3" t="inlineStr"/>
    </row>
    <row r="23">
      <c r="A23" s="3" t="n">
        <v>21</v>
      </c>
      <c r="B23" s="3" t="inlineStr">
        <is>
          <t>E</t>
        </is>
      </c>
      <c r="C23" s="3" t="inlineStr">
        <is>
          <t>5CWS-M2472-WHV2</t>
        </is>
      </c>
      <c r="D23" s="3" t="inlineStr">
        <is>
          <t>5CWS-M2472-WHV2.pdf</t>
        </is>
      </c>
      <c r="E23" s="3" t="n">
        <v>25</v>
      </c>
      <c r="F23" s="3" t="inlineStr">
        <is>
          <t>1829 x 609</t>
        </is>
      </c>
      <c r="G23" s="3" t="inlineStr">
        <is>
          <t>389 x 106.5, centered (720 each side)</t>
        </is>
      </c>
      <c r="H23" s="3" t="inlineStr">
        <is>
          <t>12 x Ø8 d20 / Ø13x90°, 2 x Ø3 d3 pilot</t>
        </is>
      </c>
      <c r="I23" s="3" t="inlineStr">
        <is>
          <t>2 pcs / pack</t>
        </is>
      </c>
      <c r="J23" s="3" t="inlineStr">
        <is>
          <t>Same as C/D, square grommet 389 mm, 2 pcs per pack</t>
        </is>
      </c>
      <c r="K23" s="3" t="inlineStr">
        <is>
          <t>Pre-checked</t>
        </is>
      </c>
      <c r="L23" s="3" t="inlineStr">
        <is>
          <t>Pre-checked</t>
        </is>
      </c>
      <c r="M23" s="3" t="inlineStr">
        <is>
          <t>Pre-checked</t>
        </is>
      </c>
      <c r="N23" s="3" t="inlineStr">
        <is>
          <t>Pre-checked</t>
        </is>
      </c>
      <c r="O23" s="3">
        <f>IF(COUNTIF(K23:N23,"Issue")&gt;0,"Issue",IF(COUNTIF(K23:N23,"Not received")&gt;0,"Not received",IF(COUNTIF(K23:N23,"Confirmed")=4,"Confirmed",IF(COUNTIF(K23:N23,"Not checked")=4,"Not checked","Pre-checked"))))</f>
        <v/>
      </c>
      <c r="P23" s="3" t="inlineStr"/>
      <c r="Q23" s="3" t="inlineStr"/>
    </row>
    <row r="24">
      <c r="A24" s="3" t="n">
        <v>22</v>
      </c>
      <c r="B24" s="3" t="inlineStr">
        <is>
          <t>E</t>
        </is>
      </c>
      <c r="C24" s="3" t="inlineStr">
        <is>
          <t>5CWS-M3060-WHV2</t>
        </is>
      </c>
      <c r="D24" s="3" t="inlineStr">
        <is>
          <t>5CWS-M3060-WHV2.pdf</t>
        </is>
      </c>
      <c r="E24" s="3" t="n">
        <v>26</v>
      </c>
      <c r="F24" s="3" t="inlineStr">
        <is>
          <t>1524 x 762</t>
        </is>
      </c>
      <c r="G24" s="3" t="inlineStr">
        <is>
          <t>389 x 106.5, centered (567.5 each side)</t>
        </is>
      </c>
      <c r="H24" s="3" t="inlineStr">
        <is>
          <t>12 x Ø8 d20 / Ø13x90°, 2 x Ø3 d3 pilot</t>
        </is>
      </c>
      <c r="I24" s="3" t="inlineStr">
        <is>
          <t>2 pcs / pack</t>
        </is>
      </c>
      <c r="J24" s="3" t="inlineStr">
        <is>
          <t>Same as C/D, square grommet 389 mm, 2 pcs per pack</t>
        </is>
      </c>
      <c r="K24" s="3" t="inlineStr">
        <is>
          <t>Pre-checked</t>
        </is>
      </c>
      <c r="L24" s="3" t="inlineStr">
        <is>
          <t>Pre-checked</t>
        </is>
      </c>
      <c r="M24" s="3" t="inlineStr">
        <is>
          <t>Pre-checked</t>
        </is>
      </c>
      <c r="N24" s="3" t="inlineStr">
        <is>
          <t>Pre-checked</t>
        </is>
      </c>
      <c r="O24" s="3">
        <f>IF(COUNTIF(K24:N24,"Issue")&gt;0,"Issue",IF(COUNTIF(K24:N24,"Not received")&gt;0,"Not received",IF(COUNTIF(K24:N24,"Confirmed")=4,"Confirmed",IF(COUNTIF(K24:N24,"Not checked")=4,"Not checked","Pre-checked"))))</f>
        <v/>
      </c>
      <c r="P24" s="3" t="inlineStr"/>
      <c r="Q24" s="3" t="inlineStr"/>
    </row>
    <row r="25">
      <c r="A25" s="3" t="n">
        <v>23</v>
      </c>
      <c r="B25" s="3" t="inlineStr">
        <is>
          <t>E</t>
        </is>
      </c>
      <c r="C25" s="3" t="inlineStr">
        <is>
          <t>5CWS-M3072-WHV2</t>
        </is>
      </c>
      <c r="D25" s="3" t="inlineStr">
        <is>
          <t>5CWS-M3072-WHV2.pdf</t>
        </is>
      </c>
      <c r="E25" s="3" t="n">
        <v>27</v>
      </c>
      <c r="F25" s="3" t="inlineStr">
        <is>
          <t>1829 x 762</t>
        </is>
      </c>
      <c r="G25" s="3" t="inlineStr">
        <is>
          <t>389 x 106.5, centered (720 each side)</t>
        </is>
      </c>
      <c r="H25" s="3" t="inlineStr">
        <is>
          <t>12 x Ø8 d20 / Ø13x90°, 2 x Ø3 d3 pilot</t>
        </is>
      </c>
      <c r="I25" s="3" t="inlineStr">
        <is>
          <t>2 pcs / pack</t>
        </is>
      </c>
      <c r="J25" s="3" t="inlineStr">
        <is>
          <t>Same as C/D, square grommet 389 mm, 2 pcs per pack</t>
        </is>
      </c>
      <c r="K25" s="3" t="inlineStr">
        <is>
          <t>Pre-checked</t>
        </is>
      </c>
      <c r="L25" s="3" t="inlineStr">
        <is>
          <t>Pre-checked</t>
        </is>
      </c>
      <c r="M25" s="3" t="inlineStr">
        <is>
          <t>Pre-checked</t>
        </is>
      </c>
      <c r="N25" s="3" t="inlineStr">
        <is>
          <t>Pre-checked</t>
        </is>
      </c>
      <c r="O25" s="3">
        <f>IF(COUNTIF(K25:N25,"Issue")&gt;0,"Issue",IF(COUNTIF(K25:N25,"Not received")&gt;0,"Not received",IF(COUNTIF(K25:N25,"Confirmed")=4,"Confirmed",IF(COUNTIF(K25:N25,"Not checked")=4,"Not checked","Pre-checked"))))</f>
        <v/>
      </c>
      <c r="P25" s="3" t="inlineStr"/>
      <c r="Q25" s="3" t="inlineStr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>
        <f>IF(K26="","",IF(COUNTIF(K26:N26,"Issue")&gt;0,"Issue",IF(COUNTIF(K26:N26,"Not received")&gt;0,"Not received",IF(COUNTIF(K26:N26,"Confirmed")=4,"Confirmed",IF(COUNTIF(K26:N26,"Not checked")=4,"Not checked","Pre-checked")))))</f>
        <v/>
      </c>
      <c r="P26" s="3" t="n"/>
      <c r="Q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>
        <f>IF(K27="","",IF(COUNTIF(K27:N27,"Issue")&gt;0,"Issue",IF(COUNTIF(K27:N27,"Not received")&gt;0,"Not received",IF(COUNTIF(K27:N27,"Confirmed")=4,"Confirmed",IF(COUNTIF(K27:N27,"Not checked")=4,"Not checked","Pre-checked")))))</f>
        <v/>
      </c>
      <c r="P27" s="3" t="n"/>
      <c r="Q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>
        <f>IF(K28="","",IF(COUNTIF(K28:N28,"Issue")&gt;0,"Issue",IF(COUNTIF(K28:N28,"Not received")&gt;0,"Not received",IF(COUNTIF(K28:N28,"Confirmed")=4,"Confirmed",IF(COUNTIF(K28:N28,"Not checked")=4,"Not checked","Pre-checked")))))</f>
        <v/>
      </c>
      <c r="P28" s="3" t="n"/>
      <c r="Q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>
        <f>IF(K29="","",IF(COUNTIF(K29:N29,"Issue")&gt;0,"Issue",IF(COUNTIF(K29:N29,"Not received")&gt;0,"Not received",IF(COUNTIF(K29:N29,"Confirmed")=4,"Confirmed",IF(COUNTIF(K29:N29,"Not checked")=4,"Not checked","Pre-checked")))))</f>
        <v/>
      </c>
      <c r="P29" s="3" t="n"/>
      <c r="Q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>
        <f>IF(K30="","",IF(COUNTIF(K30:N30,"Issue")&gt;0,"Issue",IF(COUNTIF(K30:N30,"Not received")&gt;0,"Not received",IF(COUNTIF(K30:N30,"Confirmed")=4,"Confirmed",IF(COUNTIF(K30:N30,"Not checked")=4,"Not checked","Pre-checked")))))</f>
        <v/>
      </c>
      <c r="P30" s="3" t="n"/>
      <c r="Q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>
        <f>IF(K31="","",IF(COUNTIF(K31:N31,"Issue")&gt;0,"Issue",IF(COUNTIF(K31:N31,"Not received")&gt;0,"Not received",IF(COUNTIF(K31:N31,"Confirmed")=4,"Confirmed",IF(COUNTIF(K31:N31,"Not checked")=4,"Not checked","Pre-checked")))))</f>
        <v/>
      </c>
      <c r="P31" s="3" t="n"/>
      <c r="Q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>
        <f>IF(K32="","",IF(COUNTIF(K32:N32,"Issue")&gt;0,"Issue",IF(COUNTIF(K32:N32,"Not received")&gt;0,"Not received",IF(COUNTIF(K32:N32,"Confirmed")=4,"Confirmed",IF(COUNTIF(K32:N32,"Not checked")=4,"Not checked","Pre-checked")))))</f>
        <v/>
      </c>
      <c r="P32" s="3" t="n"/>
      <c r="Q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>
        <f>IF(K33="","",IF(COUNTIF(K33:N33,"Issue")&gt;0,"Issue",IF(COUNTIF(K33:N33,"Not received")&gt;0,"Not received",IF(COUNTIF(K33:N33,"Confirmed")=4,"Confirmed",IF(COUNTIF(K33:N33,"Not checked")=4,"Not checked","Pre-checked")))))</f>
        <v/>
      </c>
      <c r="P33" s="3" t="n"/>
      <c r="Q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>
        <f>IF(K34="","",IF(COUNTIF(K34:N34,"Issue")&gt;0,"Issue",IF(COUNTIF(K34:N34,"Not received")&gt;0,"Not received",IF(COUNTIF(K34:N34,"Confirmed")=4,"Confirmed",IF(COUNTIF(K34:N34,"Not checked")=4,"Not checked","Pre-checked")))))</f>
        <v/>
      </c>
      <c r="P34" s="3" t="n"/>
      <c r="Q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>
        <f>IF(K35="","",IF(COUNTIF(K35:N35,"Issue")&gt;0,"Issue",IF(COUNTIF(K35:N35,"Not received")&gt;0,"Not received",IF(COUNTIF(K35:N35,"Confirmed")=4,"Confirmed",IF(COUNTIF(K35:N35,"Not checked")=4,"Not checked","Pre-checked")))))</f>
        <v/>
      </c>
      <c r="P35" s="3" t="n"/>
      <c r="Q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>
        <f>IF(K36="","",IF(COUNTIF(K36:N36,"Issue")&gt;0,"Issue",IF(COUNTIF(K36:N36,"Not received")&gt;0,"Not received",IF(COUNTIF(K36:N36,"Confirmed")=4,"Confirmed",IF(COUNTIF(K36:N36,"Not checked")=4,"Not checked","Pre-checked")))))</f>
        <v/>
      </c>
      <c r="P36" s="3" t="n"/>
      <c r="Q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>
        <f>IF(K37="","",IF(COUNTIF(K37:N37,"Issue")&gt;0,"Issue",IF(COUNTIF(K37:N37,"Not received")&gt;0,"Not received",IF(COUNTIF(K37:N37,"Confirmed")=4,"Confirmed",IF(COUNTIF(K37:N37,"Not checked")=4,"Not checked","Pre-checked")))))</f>
        <v/>
      </c>
      <c r="P37" s="3" t="n"/>
      <c r="Q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>
        <f>IF(K38="","",IF(COUNTIF(K38:N38,"Issue")&gt;0,"Issue",IF(COUNTIF(K38:N38,"Not received")&gt;0,"Not received",IF(COUNTIF(K38:N38,"Confirmed")=4,"Confirmed",IF(COUNTIF(K38:N38,"Not checked")=4,"Not checked","Pre-checked")))))</f>
        <v/>
      </c>
      <c r="P38" s="3" t="n"/>
      <c r="Q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>
        <f>IF(K39="","",IF(COUNTIF(K39:N39,"Issue")&gt;0,"Issue",IF(COUNTIF(K39:N39,"Not received")&gt;0,"Not received",IF(COUNTIF(K39:N39,"Confirmed")=4,"Confirmed",IF(COUNTIF(K39:N39,"Not checked")=4,"Not checked","Pre-checked")))))</f>
        <v/>
      </c>
      <c r="P39" s="3" t="n"/>
      <c r="Q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>
        <f>IF(K40="","",IF(COUNTIF(K40:N40,"Issue")&gt;0,"Issue",IF(COUNTIF(K40:N40,"Not received")&gt;0,"Not received",IF(COUNTIF(K40:N40,"Confirmed")=4,"Confirmed",IF(COUNTIF(K40:N40,"Not checked")=4,"Not checked","Pre-checked")))))</f>
        <v/>
      </c>
      <c r="P40" s="3" t="n"/>
      <c r="Q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>
        <f>IF(K41="","",IF(COUNTIF(K41:N41,"Issue")&gt;0,"Issue",IF(COUNTIF(K41:N41,"Not received")&gt;0,"Not received",IF(COUNTIF(K41:N41,"Confirmed")=4,"Confirmed",IF(COUNTIF(K41:N41,"Not checked")=4,"Not checked","Pre-checked")))))</f>
        <v/>
      </c>
      <c r="P41" s="3" t="n"/>
      <c r="Q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>
        <f>IF(K42="","",IF(COUNTIF(K42:N42,"Issue")&gt;0,"Issue",IF(COUNTIF(K42:N42,"Not received")&gt;0,"Not received",IF(COUNTIF(K42:N42,"Confirmed")=4,"Confirmed",IF(COUNTIF(K42:N42,"Not checked")=4,"Not checked","Pre-checked")))))</f>
        <v/>
      </c>
      <c r="P42" s="3" t="n"/>
      <c r="Q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>
        <f>IF(K43="","",IF(COUNTIF(K43:N43,"Issue")&gt;0,"Issue",IF(COUNTIF(K43:N43,"Not received")&gt;0,"Not received",IF(COUNTIF(K43:N43,"Confirmed")=4,"Confirmed",IF(COUNTIF(K43:N43,"Not checked")=4,"Not checked","Pre-checked")))))</f>
        <v/>
      </c>
      <c r="P43" s="3" t="n"/>
      <c r="Q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>
        <f>IF(K44="","",IF(COUNTIF(K44:N44,"Issue")&gt;0,"Issue",IF(COUNTIF(K44:N44,"Not received")&gt;0,"Not received",IF(COUNTIF(K44:N44,"Confirmed")=4,"Confirmed",IF(COUNTIF(K44:N44,"Not checked")=4,"Not checked","Pre-checked")))))</f>
        <v/>
      </c>
      <c r="P44" s="3" t="n"/>
      <c r="Q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>
        <f>IF(K45="","",IF(COUNTIF(K45:N45,"Issue")&gt;0,"Issue",IF(COUNTIF(K45:N45,"Not received")&gt;0,"Not received",IF(COUNTIF(K45:N45,"Confirmed")=4,"Confirmed",IF(COUNTIF(K45:N45,"Not checked")=4,"Not checked","Pre-checked")))))</f>
        <v/>
      </c>
      <c r="P45" s="3" t="n"/>
      <c r="Q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>
        <f>IF(K46="","",IF(COUNTIF(K46:N46,"Issue")&gt;0,"Issue",IF(COUNTIF(K46:N46,"Not received")&gt;0,"Not received",IF(COUNTIF(K46:N46,"Confirmed")=4,"Confirmed",IF(COUNTIF(K46:N46,"Not checked")=4,"Not checked","Pre-checked")))))</f>
        <v/>
      </c>
      <c r="P46" s="3" t="n"/>
      <c r="Q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>
        <f>IF(K47="","",IF(COUNTIF(K47:N47,"Issue")&gt;0,"Issue",IF(COUNTIF(K47:N47,"Not received")&gt;0,"Not received",IF(COUNTIF(K47:N47,"Confirmed")=4,"Confirmed",IF(COUNTIF(K47:N47,"Not checked")=4,"Not checked","Pre-checked")))))</f>
        <v/>
      </c>
      <c r="P47" s="3" t="n"/>
      <c r="Q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>
        <f>IF(K48="","",IF(COUNTIF(K48:N48,"Issue")&gt;0,"Issue",IF(COUNTIF(K48:N48,"Not received")&gt;0,"Not received",IF(COUNTIF(K48:N48,"Confirmed")=4,"Confirmed",IF(COUNTIF(K48:N48,"Not checked")=4,"Not checked","Pre-checked")))))</f>
        <v/>
      </c>
      <c r="P48" s="3" t="n"/>
      <c r="Q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>
        <f>IF(K49="","",IF(COUNTIF(K49:N49,"Issue")&gt;0,"Issue",IF(COUNTIF(K49:N49,"Not received")&gt;0,"Not received",IF(COUNTIF(K49:N49,"Confirmed")=4,"Confirmed",IF(COUNTIF(K49:N49,"Not checked")=4,"Not checked","Pre-checked")))))</f>
        <v/>
      </c>
      <c r="P49" s="3" t="n"/>
      <c r="Q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>
        <f>IF(K50="","",IF(COUNTIF(K50:N50,"Issue")&gt;0,"Issue",IF(COUNTIF(K50:N50,"Not received")&gt;0,"Not received",IF(COUNTIF(K50:N50,"Confirmed")=4,"Confirmed",IF(COUNTIF(K50:N50,"Not checked")=4,"Not checked","Pre-checked")))))</f>
        <v/>
      </c>
      <c r="P50" s="3" t="n"/>
      <c r="Q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>
        <f>IF(K51="","",IF(COUNTIF(K51:N51,"Issue")&gt;0,"Issue",IF(COUNTIF(K51:N51,"Not received")&gt;0,"Not received",IF(COUNTIF(K51:N51,"Confirmed")=4,"Confirmed",IF(COUNTIF(K51:N51,"Not checked")=4,"Not checked","Pre-checked")))))</f>
        <v/>
      </c>
      <c r="P51" s="3" t="n"/>
      <c r="Q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>
        <f>IF(K52="","",IF(COUNTIF(K52:N52,"Issue")&gt;0,"Issue",IF(COUNTIF(K52:N52,"Not received")&gt;0,"Not received",IF(COUNTIF(K52:N52,"Confirmed")=4,"Confirmed",IF(COUNTIF(K52:N52,"Not checked")=4,"Not checked","Pre-checked")))))</f>
        <v/>
      </c>
      <c r="P52" s="3" t="n"/>
      <c r="Q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>
        <f>IF(K53="","",IF(COUNTIF(K53:N53,"Issue")&gt;0,"Issue",IF(COUNTIF(K53:N53,"Not received")&gt;0,"Not received",IF(COUNTIF(K53:N53,"Confirmed")=4,"Confirmed",IF(COUNTIF(K53:N53,"Not checked")=4,"Not checked","Pre-checked")))))</f>
        <v/>
      </c>
      <c r="P53" s="3" t="n"/>
      <c r="Q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>
        <f>IF(K54="","",IF(COUNTIF(K54:N54,"Issue")&gt;0,"Issue",IF(COUNTIF(K54:N54,"Not received")&gt;0,"Not received",IF(COUNTIF(K54:N54,"Confirmed")=4,"Confirmed",IF(COUNTIF(K54:N54,"Not checked")=4,"Not checked","Pre-checked")))))</f>
        <v/>
      </c>
      <c r="P54" s="3" t="n"/>
      <c r="Q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>
        <f>IF(K55="","",IF(COUNTIF(K55:N55,"Issue")&gt;0,"Issue",IF(COUNTIF(K55:N55,"Not received")&gt;0,"Not received",IF(COUNTIF(K55:N55,"Confirmed")=4,"Confirmed",IF(COUNTIF(K55:N55,"Not checked")=4,"Not checked","Pre-checked")))))</f>
        <v/>
      </c>
      <c r="P55" s="3" t="n"/>
      <c r="Q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>
        <f>IF(K56="","",IF(COUNTIF(K56:N56,"Issue")&gt;0,"Issue",IF(COUNTIF(K56:N56,"Not received")&gt;0,"Not received",IF(COUNTIF(K56:N56,"Confirmed")=4,"Confirmed",IF(COUNTIF(K56:N56,"Not checked")=4,"Not checked","Pre-checked")))))</f>
        <v/>
      </c>
      <c r="P56" s="3" t="n"/>
      <c r="Q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>
        <f>IF(K57="","",IF(COUNTIF(K57:N57,"Issue")&gt;0,"Issue",IF(COUNTIF(K57:N57,"Not received")&gt;0,"Not received",IF(COUNTIF(K57:N57,"Confirmed")=4,"Confirmed",IF(COUNTIF(K57:N57,"Not checked")=4,"Not checked","Pre-checked")))))</f>
        <v/>
      </c>
      <c r="P57" s="3" t="n"/>
      <c r="Q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>
        <f>IF(K58="","",IF(COUNTIF(K58:N58,"Issue")&gt;0,"Issue",IF(COUNTIF(K58:N58,"Not received")&gt;0,"Not received",IF(COUNTIF(K58:N58,"Confirmed")=4,"Confirmed",IF(COUNTIF(K58:N58,"Not checked")=4,"Not checked","Pre-checked")))))</f>
        <v/>
      </c>
      <c r="P58" s="3" t="n"/>
      <c r="Q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>
        <f>IF(K59="","",IF(COUNTIF(K59:N59,"Issue")&gt;0,"Issue",IF(COUNTIF(K59:N59,"Not received")&gt;0,"Not received",IF(COUNTIF(K59:N59,"Confirmed")=4,"Confirmed",IF(COUNTIF(K59:N59,"Not checked")=4,"Not checked","Pre-checked")))))</f>
        <v/>
      </c>
      <c r="P59" s="3" t="n"/>
      <c r="Q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>
        <f>IF(K60="","",IF(COUNTIF(K60:N60,"Issue")&gt;0,"Issue",IF(COUNTIF(K60:N60,"Not received")&gt;0,"Not received",IF(COUNTIF(K60:N60,"Confirmed")=4,"Confirmed",IF(COUNTIF(K60:N60,"Not checked")=4,"Not checked","Pre-checked")))))</f>
        <v/>
      </c>
      <c r="P60" s="3" t="n"/>
      <c r="Q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>
        <f>IF(K61="","",IF(COUNTIF(K61:N61,"Issue")&gt;0,"Issue",IF(COUNTIF(K61:N61,"Not received")&gt;0,"Not received",IF(COUNTIF(K61:N61,"Confirmed")=4,"Confirmed",IF(COUNTIF(K61:N61,"Not checked")=4,"Not checked","Pre-checked")))))</f>
        <v/>
      </c>
      <c r="P61" s="3" t="n"/>
      <c r="Q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>
        <f>IF(K62="","",IF(COUNTIF(K62:N62,"Issue")&gt;0,"Issue",IF(COUNTIF(K62:N62,"Not received")&gt;0,"Not received",IF(COUNTIF(K62:N62,"Confirmed")=4,"Confirmed",IF(COUNTIF(K62:N62,"Not checked")=4,"Not checked","Pre-checked")))))</f>
        <v/>
      </c>
      <c r="P62" s="3" t="n"/>
      <c r="Q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>
        <f>IF(K63="","",IF(COUNTIF(K63:N63,"Issue")&gt;0,"Issue",IF(COUNTIF(K63:N63,"Not received")&gt;0,"Not received",IF(COUNTIF(K63:N63,"Confirmed")=4,"Confirmed",IF(COUNTIF(K63:N63,"Not checked")=4,"Not checked","Pre-checked")))))</f>
        <v/>
      </c>
      <c r="P63" s="3" t="n"/>
      <c r="Q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>
        <f>IF(K64="","",IF(COUNTIF(K64:N64,"Issue")&gt;0,"Issue",IF(COUNTIF(K64:N64,"Not received")&gt;0,"Not received",IF(COUNTIF(K64:N64,"Confirmed")=4,"Confirmed",IF(COUNTIF(K64:N64,"Not checked")=4,"Not checked","Pre-checked")))))</f>
        <v/>
      </c>
      <c r="P64" s="3" t="n"/>
      <c r="Q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>
        <f>IF(K65="","",IF(COUNTIF(K65:N65,"Issue")&gt;0,"Issue",IF(COUNTIF(K65:N65,"Not received")&gt;0,"Not received",IF(COUNTIF(K65:N65,"Confirmed")=4,"Confirmed",IF(COUNTIF(K65:N65,"Not checked")=4,"Not checked","Pre-checked")))))</f>
        <v/>
      </c>
      <c r="P65" s="3" t="n"/>
      <c r="Q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>
        <f>IF(K66="","",IF(COUNTIF(K66:N66,"Issue")&gt;0,"Issue",IF(COUNTIF(K66:N66,"Not received")&gt;0,"Not received",IF(COUNTIF(K66:N66,"Confirmed")=4,"Confirmed",IF(COUNTIF(K66:N66,"Not checked")=4,"Not checked","Pre-checked")))))</f>
        <v/>
      </c>
      <c r="P66" s="3" t="n"/>
      <c r="Q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>
        <f>IF(K67="","",IF(COUNTIF(K67:N67,"Issue")&gt;0,"Issue",IF(COUNTIF(K67:N67,"Not received")&gt;0,"Not received",IF(COUNTIF(K67:N67,"Confirmed")=4,"Confirmed",IF(COUNTIF(K67:N67,"Not checked")=4,"Not checked","Pre-checked")))))</f>
        <v/>
      </c>
      <c r="P67" s="3" t="n"/>
      <c r="Q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>
        <f>IF(K68="","",IF(COUNTIF(K68:N68,"Issue")&gt;0,"Issue",IF(COUNTIF(K68:N68,"Not received")&gt;0,"Not received",IF(COUNTIF(K68:N68,"Confirmed")=4,"Confirmed",IF(COUNTIF(K68:N68,"Not checked")=4,"Not checked","Pre-checked")))))</f>
        <v/>
      </c>
      <c r="P68" s="3" t="n"/>
      <c r="Q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>
        <f>IF(K69="","",IF(COUNTIF(K69:N69,"Issue")&gt;0,"Issue",IF(COUNTIF(K69:N69,"Not received")&gt;0,"Not received",IF(COUNTIF(K69:N69,"Confirmed")=4,"Confirmed",IF(COUNTIF(K69:N69,"Not checked")=4,"Not checked","Pre-checked")))))</f>
        <v/>
      </c>
      <c r="P69" s="3" t="n"/>
      <c r="Q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>
        <f>IF(K70="","",IF(COUNTIF(K70:N70,"Issue")&gt;0,"Issue",IF(COUNTIF(K70:N70,"Not received")&gt;0,"Not received",IF(COUNTIF(K70:N70,"Confirmed")=4,"Confirmed",IF(COUNTIF(K70:N70,"Not checked")=4,"Not checked","Pre-checked")))))</f>
        <v/>
      </c>
      <c r="P70" s="3" t="n"/>
      <c r="Q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>
        <f>IF(K71="","",IF(COUNTIF(K71:N71,"Issue")&gt;0,"Issue",IF(COUNTIF(K71:N71,"Not received")&gt;0,"Not received",IF(COUNTIF(K71:N71,"Confirmed")=4,"Confirmed",IF(COUNTIF(K71:N71,"Not checked")=4,"Not checked","Pre-checked")))))</f>
        <v/>
      </c>
      <c r="P71" s="3" t="n"/>
      <c r="Q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>
        <f>IF(K72="","",IF(COUNTIF(K72:N72,"Issue")&gt;0,"Issue",IF(COUNTIF(K72:N72,"Not received")&gt;0,"Not received",IF(COUNTIF(K72:N72,"Confirmed")=4,"Confirmed",IF(COUNTIF(K72:N72,"Not checked")=4,"Not checked","Pre-checked")))))</f>
        <v/>
      </c>
      <c r="P72" s="3" t="n"/>
      <c r="Q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>
        <f>IF(K73="","",IF(COUNTIF(K73:N73,"Issue")&gt;0,"Issue",IF(COUNTIF(K73:N73,"Not received")&gt;0,"Not received",IF(COUNTIF(K73:N73,"Confirmed")=4,"Confirmed",IF(COUNTIF(K73:N73,"Not checked")=4,"Not checked","Pre-checked")))))</f>
        <v/>
      </c>
      <c r="P73" s="3" t="n"/>
      <c r="Q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>
        <f>IF(K74="","",IF(COUNTIF(K74:N74,"Issue")&gt;0,"Issue",IF(COUNTIF(K74:N74,"Not received")&gt;0,"Not received",IF(COUNTIF(K74:N74,"Confirmed")=4,"Confirmed",IF(COUNTIF(K74:N74,"Not checked")=4,"Not checked","Pre-checked")))))</f>
        <v/>
      </c>
      <c r="P74" s="3" t="n"/>
      <c r="Q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>
        <f>IF(K75="","",IF(COUNTIF(K75:N75,"Issue")&gt;0,"Issue",IF(COUNTIF(K75:N75,"Not received")&gt;0,"Not received",IF(COUNTIF(K75:N75,"Confirmed")=4,"Confirmed",IF(COUNTIF(K75:N75,"Not checked")=4,"Not checked","Pre-checked")))))</f>
        <v/>
      </c>
      <c r="P75" s="3" t="n"/>
      <c r="Q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>
        <f>IF(K76="","",IF(COUNTIF(K76:N76,"Issue")&gt;0,"Issue",IF(COUNTIF(K76:N76,"Not received")&gt;0,"Not received",IF(COUNTIF(K76:N76,"Confirmed")=4,"Confirmed",IF(COUNTIF(K76:N76,"Not checked")=4,"Not checked","Pre-checked")))))</f>
        <v/>
      </c>
      <c r="P76" s="3" t="n"/>
      <c r="Q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>
        <f>IF(K77="","",IF(COUNTIF(K77:N77,"Issue")&gt;0,"Issue",IF(COUNTIF(K77:N77,"Not received")&gt;0,"Not received",IF(COUNTIF(K77:N77,"Confirmed")=4,"Confirmed",IF(COUNTIF(K77:N77,"Not checked")=4,"Not checked","Pre-checked")))))</f>
        <v/>
      </c>
      <c r="P77" s="3" t="n"/>
      <c r="Q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>
        <f>IF(K78="","",IF(COUNTIF(K78:N78,"Issue")&gt;0,"Issue",IF(COUNTIF(K78:N78,"Not received")&gt;0,"Not received",IF(COUNTIF(K78:N78,"Confirmed")=4,"Confirmed",IF(COUNTIF(K78:N78,"Not checked")=4,"Not checked","Pre-checked")))))</f>
        <v/>
      </c>
      <c r="P78" s="3" t="n"/>
      <c r="Q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>
        <f>IF(K79="","",IF(COUNTIF(K79:N79,"Issue")&gt;0,"Issue",IF(COUNTIF(K79:N79,"Not received")&gt;0,"Not received",IF(COUNTIF(K79:N79,"Confirmed")=4,"Confirmed",IF(COUNTIF(K79:N79,"Not checked")=4,"Not checked","Pre-checked")))))</f>
        <v/>
      </c>
      <c r="P79" s="3" t="n"/>
      <c r="Q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>
        <f>IF(K80="","",IF(COUNTIF(K80:N80,"Issue")&gt;0,"Issue",IF(COUNTIF(K80:N80,"Not received")&gt;0,"Not received",IF(COUNTIF(K80:N80,"Confirmed")=4,"Confirmed",IF(COUNTIF(K80:N80,"Not checked")=4,"Not checked","Pre-checked")))))</f>
        <v/>
      </c>
      <c r="P80" s="3" t="n"/>
      <c r="Q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>
        <f>IF(K81="","",IF(COUNTIF(K81:N81,"Issue")&gt;0,"Issue",IF(COUNTIF(K81:N81,"Not received")&gt;0,"Not received",IF(COUNTIF(K81:N81,"Confirmed")=4,"Confirmed",IF(COUNTIF(K81:N81,"Not checked")=4,"Not checked","Pre-checked")))))</f>
        <v/>
      </c>
      <c r="P81" s="3" t="n"/>
      <c r="Q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>
        <f>IF(K82="","",IF(COUNTIF(K82:N82,"Issue")&gt;0,"Issue",IF(COUNTIF(K82:N82,"Not received")&gt;0,"Not received",IF(COUNTIF(K82:N82,"Confirmed")=4,"Confirmed",IF(COUNTIF(K82:N82,"Not checked")=4,"Not checked","Pre-checked")))))</f>
        <v/>
      </c>
      <c r="P82" s="3" t="n"/>
      <c r="Q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>
        <f>IF(K83="","",IF(COUNTIF(K83:N83,"Issue")&gt;0,"Issue",IF(COUNTIF(K83:N83,"Not received")&gt;0,"Not received",IF(COUNTIF(K83:N83,"Confirmed")=4,"Confirmed",IF(COUNTIF(K83:N83,"Not checked")=4,"Not checked","Pre-checked")))))</f>
        <v/>
      </c>
      <c r="P83" s="3" t="n"/>
      <c r="Q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>
        <f>IF(K84="","",IF(COUNTIF(K84:N84,"Issue")&gt;0,"Issue",IF(COUNTIF(K84:N84,"Not received")&gt;0,"Not received",IF(COUNTIF(K84:N84,"Confirmed")=4,"Confirmed",IF(COUNTIF(K84:N84,"Not checked")=4,"Not checked","Pre-checked")))))</f>
        <v/>
      </c>
      <c r="P84" s="3" t="n"/>
      <c r="Q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>
        <f>IF(K85="","",IF(COUNTIF(K85:N85,"Issue")&gt;0,"Issue",IF(COUNTIF(K85:N85,"Not received")&gt;0,"Not received",IF(COUNTIF(K85:N85,"Confirmed")=4,"Confirmed",IF(COUNTIF(K85:N85,"Not checked")=4,"Not checked","Pre-checked")))))</f>
        <v/>
      </c>
      <c r="P85" s="3" t="n"/>
      <c r="Q85" s="3" t="n"/>
    </row>
  </sheetData>
  <autoFilter ref="A2:Q25"/>
  <mergeCells count="1">
    <mergeCell ref="A1:Q1"/>
  </mergeCells>
  <conditionalFormatting sqref="K3:O85">
    <cfRule type="cellIs" priority="1" operator="equal" dxfId="0">
      <formula>"Confirmed"</formula>
    </cfRule>
    <cfRule type="cellIs" priority="2" operator="equal" dxfId="1">
      <formula>"Pre-checked"</formula>
    </cfRule>
    <cfRule type="cellIs" priority="3" operator="equal" dxfId="2">
      <formula>"Issue"</formula>
    </cfRule>
    <cfRule type="cellIs" priority="4" operator="equal" dxfId="3">
      <formula>"Not received"</formula>
    </cfRule>
  </conditionalFormatting>
  <dataValidations count="1">
    <dataValidation sqref="K3:N85" showDropDown="0" showInputMessage="0" showErrorMessage="0" allowBlank="1" type="list">
      <formula1>"Not checked,Pre-checked,Confirmed,Issue,Not received"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zoomScale="10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34" customWidth="1" min="3" max="3"/>
    <col width="70" customWidth="1" min="4" max="4"/>
    <col width="18" customWidth="1" min="5" max="5"/>
    <col width="44" customWidth="1" min="6" max="6"/>
    <col width="12" customWidth="1" min="7" max="7"/>
    <col width="12" customWidth="1" min="8" max="8"/>
  </cols>
  <sheetData>
    <row r="1">
      <c r="A1" s="1" t="inlineStr">
        <is>
          <t>Questions and decisions for the supplier. Pick a Decision from the dropdown and write the answer. Add rows at the bottom.</t>
        </is>
      </c>
    </row>
    <row r="2" ht="32" customHeight="1">
      <c r="A2" s="2" t="inlineStr">
        <is>
          <t>ID</t>
        </is>
      </c>
      <c r="B2" s="2" t="inlineStr">
        <is>
          <t>Topic</t>
        </is>
      </c>
      <c r="C2" s="2" t="inlineStr">
        <is>
          <t>Drawing / reference</t>
        </is>
      </c>
      <c r="D2" s="2" t="inlineStr">
        <is>
          <t>Question</t>
        </is>
      </c>
      <c r="E2" s="2" t="inlineStr">
        <is>
          <t>Decision</t>
        </is>
      </c>
      <c r="F2" s="2" t="inlineStr">
        <is>
          <t>Answer / notes</t>
        </is>
      </c>
      <c r="G2" s="2" t="inlineStr">
        <is>
          <t>Date</t>
        </is>
      </c>
      <c r="H2" s="2" t="inlineStr">
        <is>
          <t>Status</t>
        </is>
      </c>
    </row>
    <row r="3">
      <c r="A3" s="3" t="inlineStr">
        <is>
          <t>1a</t>
        </is>
      </c>
      <c r="B3" s="3" t="inlineStr">
        <is>
          <t>Worksurface: 5CWS-M2460-W</t>
        </is>
      </c>
      <c r="C3" s="3" t="inlineStr">
        <is>
          <t>5CWS-M2460-W.pdf (PDF p.21)</t>
        </is>
      </c>
      <c r="D3" s="3" t="inlineStr">
        <is>
          <t>Drawing is wrong. It is a copy of the 5CLWS2460 layout (16 pilot holes, no cutout, no inserts, 1 pc per pack). Send the correct original for a Group D panel.</t>
        </is>
      </c>
      <c r="E3" s="3" t="inlineStr">
        <is>
          <t>Open</t>
        </is>
      </c>
      <c r="F3" s="3" t="inlineStr"/>
      <c r="G3" s="3" t="inlineStr"/>
      <c r="H3" s="3" t="inlineStr">
        <is>
          <t>Open</t>
        </is>
      </c>
    </row>
    <row r="4">
      <c r="A4" s="3" t="inlineStr">
        <is>
          <t>1b</t>
        </is>
      </c>
      <c r="B4" s="3" t="inlineStr">
        <is>
          <t>Worksurface: 5QWMU2460G2</t>
        </is>
      </c>
      <c r="C4" s="3" t="inlineStr">
        <is>
          <t>Not received</t>
        </is>
      </c>
      <c r="D4" s="3" t="inlineStr">
        <is>
          <t>Drawing was not in the files sent. Please send it.</t>
        </is>
      </c>
      <c r="E4" s="3" t="inlineStr">
        <is>
          <t>Open</t>
        </is>
      </c>
      <c r="F4" s="3" t="inlineStr"/>
      <c r="G4" s="3" t="inlineStr"/>
      <c r="H4" s="3" t="inlineStr">
        <is>
          <t>Open</t>
        </is>
      </c>
    </row>
    <row r="5">
      <c r="A5" s="3" t="inlineStr">
        <is>
          <t>1c</t>
        </is>
      </c>
      <c r="B5" s="3" t="inlineStr">
        <is>
          <t>Worksurface: Group A colors</t>
        </is>
      </c>
      <c r="C5" s="3" t="inlineStr">
        <is>
          <t>5CLWS2460 / 2472 / 3060</t>
        </is>
      </c>
      <c r="D5" s="3" t="inlineStr">
        <is>
          <t>Email says three colors with three sizes, but no drawing shows a color. Sizes differ (1524x609, 1829x609, 1524x762). Which color goes with each model?</t>
        </is>
      </c>
      <c r="E5" s="3" t="inlineStr">
        <is>
          <t>Open</t>
        </is>
      </c>
      <c r="F5" s="3" t="inlineStr"/>
      <c r="G5" s="3" t="inlineStr"/>
      <c r="H5" s="3" t="inlineStr">
        <is>
          <t>Open</t>
        </is>
      </c>
    </row>
    <row r="6">
      <c r="A6" s="3" t="inlineStr">
        <is>
          <t>1d</t>
        </is>
      </c>
      <c r="B6" s="3" t="inlineStr">
        <is>
          <t>Worksurface: 5CWS-M2448-WHV2</t>
        </is>
      </c>
      <c r="C6" s="3" t="inlineStr">
        <is>
          <t>5CWS-M2448-WHV2.pdf (PDF p.23)</t>
        </is>
      </c>
      <c r="D6" s="3" t="inlineStr">
        <is>
          <t>Drawing shows a 224 mm cutout (104 tall); Group E should be 389 mm (106.5 tall). It matches 5CWS-M2448-W. Wrong drawing, or intentional? Notes also omit "white" board and "junction box not included".</t>
        </is>
      </c>
      <c r="E6" s="3" t="inlineStr">
        <is>
          <t>Open</t>
        </is>
      </c>
      <c r="F6" s="3" t="inlineStr"/>
      <c r="G6" s="3" t="inlineStr"/>
      <c r="H6" s="3" t="inlineStr">
        <is>
          <t>Open</t>
        </is>
      </c>
    </row>
    <row r="7">
      <c r="A7" s="3" t="inlineStr">
        <is>
          <t>1e</t>
        </is>
      </c>
      <c r="B7" s="3" t="inlineStr">
        <is>
          <t>Worksurface: pilot hole and inserts</t>
        </is>
      </c>
      <c r="C7" s="3" t="inlineStr">
        <is>
          <t>Groups C, D, E</t>
        </is>
      </c>
      <c r="D7" s="3" t="inlineStr">
        <is>
          <t>Only one Ø3 pilot hole is dimensioned (197 from left, 64.5 down). Confirm the second mirrors it. Drawings call out Ø8 d20 / Ø13x90° but do not name the M6 insert. Confirm the insert part.</t>
        </is>
      </c>
      <c r="E7" s="3" t="inlineStr">
        <is>
          <t>Open</t>
        </is>
      </c>
      <c r="F7" s="3" t="inlineStr"/>
      <c r="G7" s="3" t="inlineStr"/>
      <c r="H7" s="3" t="inlineStr">
        <is>
          <t>Open</t>
        </is>
      </c>
    </row>
    <row r="8">
      <c r="A8" s="3" t="inlineStr">
        <is>
          <t>1f</t>
        </is>
      </c>
      <c r="B8" s="3" t="inlineStr">
        <is>
          <t>Worksurface: packing and edgebanding</t>
        </is>
      </c>
      <c r="C8" s="3" t="inlineStr">
        <is>
          <t>All drawings</t>
        </is>
      </c>
      <c r="D8" s="3" t="inlineStr">
        <is>
          <t>Packing matches the email (A-C 1 pc/pack, D-E 2 pcs/pack). All drawings already say 3 mm same-color edgebanding. Confirm both are intended, and whether that is the same change as items 3 to 5.</t>
        </is>
      </c>
      <c r="E8" s="3" t="inlineStr">
        <is>
          <t>Open</t>
        </is>
      </c>
      <c r="F8" s="3" t="inlineStr"/>
      <c r="G8" s="3" t="inlineStr"/>
      <c r="H8" s="3" t="inlineStr">
        <is>
          <t>Open</t>
        </is>
      </c>
    </row>
    <row r="9">
      <c r="A9" s="3" t="inlineStr">
        <is>
          <t>2</t>
        </is>
      </c>
      <c r="B9" s="3" t="inlineStr">
        <is>
          <t>Storage cabinet lock position</t>
        </is>
      </c>
      <c r="C9" s="3" t="inlineStr">
        <is>
          <t>SC drawing, LF drawing, lock picture (not received)</t>
        </is>
      </c>
      <c r="D9" s="3" t="inlineStr">
        <is>
          <t>Supplier will use the lock system pictured in their email, 9.5 mm lower than the LF. Accept? (Need the lock picture / part number first.)</t>
        </is>
      </c>
      <c r="E9" s="3" t="inlineStr">
        <is>
          <t>Open</t>
        </is>
      </c>
      <c r="F9" s="3" t="inlineStr"/>
      <c r="G9" s="3" t="inlineStr"/>
      <c r="H9" s="3" t="inlineStr">
        <is>
          <t>Open</t>
        </is>
      </c>
    </row>
    <row r="10">
      <c r="A10" s="3" t="inlineStr">
        <is>
          <t>3a</t>
        </is>
      </c>
      <c r="B10" s="3" t="inlineStr">
        <is>
          <t>Desk shell: end panel edgebanding</t>
        </is>
      </c>
      <c r="C10" s="3" t="inlineStr">
        <is>
          <t>Desk shell drawings</t>
        </is>
      </c>
      <c r="D10" s="3" t="inlineStr">
        <is>
          <t>Change end panel edgebanding from 2 mm to 3 mm. (Matches meeting note: Desk shell, Edge, 3mm.)</t>
        </is>
      </c>
      <c r="E10" s="3" t="inlineStr">
        <is>
          <t>Open</t>
        </is>
      </c>
      <c r="F10" s="3" t="inlineStr"/>
      <c r="G10" s="3" t="inlineStr"/>
      <c r="H10" s="3" t="inlineStr">
        <is>
          <t>Open</t>
        </is>
      </c>
    </row>
    <row r="11">
      <c r="A11" s="3" t="inlineStr">
        <is>
          <t>3b</t>
        </is>
      </c>
      <c r="B11" s="3" t="inlineStr">
        <is>
          <t>Desk shell: modesty panel upper edge</t>
        </is>
      </c>
      <c r="C11" s="3" t="inlineStr">
        <is>
          <t>Desk shell drawings</t>
        </is>
      </c>
      <c r="D11" s="3" t="inlineStr">
        <is>
          <t>Upper edge not visible. Change from 2 mm to 1 mm and match the board color.</t>
        </is>
      </c>
      <c r="E11" s="3" t="inlineStr">
        <is>
          <t>Open</t>
        </is>
      </c>
      <c r="F11" s="3" t="inlineStr"/>
      <c r="G11" s="3" t="inlineStr"/>
      <c r="H11" s="3" t="inlineStr">
        <is>
          <t>Open</t>
        </is>
      </c>
    </row>
    <row r="12">
      <c r="A12" s="3" t="inlineStr">
        <is>
          <t>4</t>
        </is>
      </c>
      <c r="B12" s="3" t="inlineStr">
        <is>
          <t>Credenza / Return / Bridge etc.: upper edgebanding</t>
        </is>
      </c>
      <c r="C12" s="3" t="inlineStr">
        <is>
          <t>Credenza, Return, Bridge drawings</t>
        </is>
      </c>
      <c r="D12" s="3" t="inlineStr">
        <is>
          <t>Change the upper edgebanding from 2 mm to 3 mm. Which other models does "etc." cover?</t>
        </is>
      </c>
      <c r="E12" s="3" t="inlineStr">
        <is>
          <t>Open</t>
        </is>
      </c>
      <c r="F12" s="3" t="inlineStr"/>
      <c r="G12" s="3" t="inlineStr"/>
      <c r="H12" s="3" t="inlineStr">
        <is>
          <t>Open</t>
        </is>
      </c>
    </row>
    <row r="13">
      <c r="A13" s="3" t="inlineStr">
        <is>
          <t>5a</t>
        </is>
      </c>
      <c r="B13" s="3" t="inlineStr">
        <is>
          <t>Bookcase: upper edgebanding</t>
        </is>
      </c>
      <c r="C13" s="3" t="inlineStr">
        <is>
          <t>Bookcase drawings</t>
        </is>
      </c>
      <c r="D13" s="3" t="inlineStr">
        <is>
          <t>Change the upper edgebanding from 2 mm to 3 mm.</t>
        </is>
      </c>
      <c r="E13" s="3" t="inlineStr">
        <is>
          <t>Open</t>
        </is>
      </c>
      <c r="F13" s="3" t="inlineStr"/>
      <c r="G13" s="3" t="inlineStr"/>
      <c r="H13" s="3" t="inlineStr">
        <is>
          <t>Open</t>
        </is>
      </c>
    </row>
    <row r="14">
      <c r="A14" s="3" t="inlineStr">
        <is>
          <t>5b</t>
        </is>
      </c>
      <c r="B14" s="3" t="inlineStr">
        <is>
          <t>Bookcase: back panel upper edgebanding</t>
        </is>
      </c>
      <c r="C14" s="3" t="inlineStr">
        <is>
          <t>Bookcase drawings</t>
        </is>
      </c>
      <c r="D14" s="3" t="inlineStr">
        <is>
          <t>Change the back panel upper edgebanding from 2 mm to 1 mm.</t>
        </is>
      </c>
      <c r="E14" s="3" t="inlineStr">
        <is>
          <t>Open</t>
        </is>
      </c>
      <c r="F14" s="3" t="inlineStr"/>
      <c r="G14" s="3" t="inlineStr"/>
      <c r="H14" s="3" t="inlineStr">
        <is>
          <t>Open</t>
        </is>
      </c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</sheetData>
  <autoFilter ref="A2:H14"/>
  <mergeCells count="1">
    <mergeCell ref="A1:H1"/>
  </mergeCells>
  <conditionalFormatting sqref="E3:E54">
    <cfRule type="cellIs" priority="1" operator="equal" dxfId="0">
      <formula>"Accept"</formula>
    </cfRule>
    <cfRule type="cellIs" priority="2" operator="equal" dxfId="2">
      <formula>"Reject"</formula>
    </cfRule>
    <cfRule type="cellIs" priority="3" operator="equal" dxfId="1">
      <formula>"Accept with changes"</formula>
    </cfRule>
    <cfRule type="cellIs" priority="4" operator="equal" dxfId="3">
      <formula>"Need info"</formula>
    </cfRule>
  </conditionalFormatting>
  <dataValidations count="2">
    <dataValidation sqref="E3:E54" showDropDown="0" showInputMessage="0" showErrorMessage="0" allowBlank="1" type="list">
      <formula1>"Open,Accept,Reject,Accept with changes,Need info"</formula1>
    </dataValidation>
    <dataValidation sqref="H3:H54" showDropDown="0" showInputMessage="0" showErrorMessage="0" allowBlank="1" type="list">
      <formula1>"Open,Waiting on supplier,Answered,Done"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zoomScale="10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52" customWidth="1" min="4" max="4"/>
    <col width="44" customWidth="1" min="5" max="5"/>
    <col width="12" customWidth="1" min="6" max="6"/>
  </cols>
  <sheetData>
    <row r="1">
      <c r="A1" s="1" t="inlineStr">
        <is>
          <t>Your own questions from the weekend meeting notes. Fill in Answer and set Status.</t>
        </is>
      </c>
    </row>
    <row r="2" ht="32" customHeight="1">
      <c r="A2" s="2" t="inlineStr">
        <is>
          <t>#</t>
        </is>
      </c>
      <c r="B2" s="2" t="inlineStr">
        <is>
          <t>Product / area</t>
        </is>
      </c>
      <c r="C2" s="2" t="inlineStr">
        <is>
          <t>Note (as transcribed)</t>
        </is>
      </c>
      <c r="D2" s="2" t="inlineStr">
        <is>
          <t>Question to answer</t>
        </is>
      </c>
      <c r="E2" s="2" t="inlineStr">
        <is>
          <t>Answer</t>
        </is>
      </c>
      <c r="F2" s="2" t="inlineStr">
        <is>
          <t>Status</t>
        </is>
      </c>
    </row>
    <row r="3">
      <c r="A3" s="3" t="n">
        <v>1</v>
      </c>
      <c r="B3" s="3" t="inlineStr">
        <is>
          <t>Desk shell</t>
        </is>
      </c>
      <c r="C3" s="3" t="inlineStr">
        <is>
          <t>Edge (3 mm, circled; sketch "1c/1e")</t>
        </is>
      </c>
      <c r="D3" s="3" t="inlineStr">
        <is>
          <t>What is the edge depth? Confirm 3 mm and the sketch label. Possibly related to supplier item 3a.</t>
        </is>
      </c>
      <c r="E3" s="3" t="inlineStr"/>
      <c r="F3" s="3" t="inlineStr">
        <is>
          <t>Open</t>
        </is>
      </c>
    </row>
    <row r="4">
      <c r="A4" s="3" t="n">
        <v>2</v>
      </c>
      <c r="B4" s="3" t="inlineStr">
        <is>
          <t>Hutch</t>
        </is>
      </c>
      <c r="C4" s="3" t="inlineStr">
        <is>
          <t>Move grommet down</t>
        </is>
      </c>
      <c r="D4" s="3" t="inlineStr">
        <is>
          <t>Move down by how much? Which grommet(s)?</t>
        </is>
      </c>
      <c r="E4" s="3" t="inlineStr"/>
      <c r="F4" s="3" t="inlineStr">
        <is>
          <t>Open</t>
        </is>
      </c>
    </row>
    <row r="5">
      <c r="A5" s="3" t="n">
        <v>3</v>
      </c>
      <c r="B5" s="3" t="inlineStr">
        <is>
          <t>Bookcase</t>
        </is>
      </c>
      <c r="C5" s="3" t="inlineStr">
        <is>
          <t>Notch in shelf for pin, all shelves</t>
        </is>
      </c>
      <c r="D5" s="3" t="inlineStr">
        <is>
          <t>Notch size and position? Applies to all shelves? Possibly related to supplier item 5.</t>
        </is>
      </c>
      <c r="E5" s="3" t="inlineStr"/>
      <c r="F5" s="3" t="inlineStr">
        <is>
          <t>Open</t>
        </is>
      </c>
    </row>
    <row r="6">
      <c r="A6" s="3" t="n">
        <v>4</v>
      </c>
      <c r="B6" s="3" t="inlineStr">
        <is>
          <t>Storage</t>
        </is>
      </c>
      <c r="C6" s="3" t="inlineStr">
        <is>
          <t>Stop and latch move forward (checked); Identify / Locking discussion</t>
        </is>
      </c>
      <c r="D6" s="3" t="inlineStr">
        <is>
          <t>Move forward by how much? Is the locking discussion closed? Possibly related to supplier item 2.</t>
        </is>
      </c>
      <c r="E6" s="3" t="inlineStr"/>
      <c r="F6" s="3" t="inlineStr">
        <is>
          <t>Open</t>
        </is>
      </c>
    </row>
    <row r="7">
      <c r="A7" s="3" t="n">
        <v>5</v>
      </c>
      <c r="B7" s="3" t="inlineStr">
        <is>
          <t>Conf table</t>
        </is>
      </c>
      <c r="C7" s="3" t="inlineStr">
        <is>
          <t>Move cams for QoL</t>
        </is>
      </c>
      <c r="D7" s="3" t="inlineStr">
        <is>
          <t>Which cams move, and to where?</t>
        </is>
      </c>
      <c r="E7" s="3" t="inlineStr"/>
      <c r="F7" s="3" t="inlineStr">
        <is>
          <t>Open</t>
        </is>
      </c>
    </row>
    <row r="8">
      <c r="A8" s="3" t="n">
        <v>6</v>
      </c>
      <c r="B8" s="3" t="inlineStr">
        <is>
          <t>Surfaces</t>
        </is>
      </c>
      <c r="C8" s="3" t="inlineStr">
        <is>
          <t>Quick Ship: inserts / gauging bracket</t>
        </is>
      </c>
      <c r="D8" s="3" t="inlineStr">
        <is>
          <t>Confirm drawings for quick ship (inserts / gauging bracket). Wording uncertain.</t>
        </is>
      </c>
      <c r="E8" s="3" t="inlineStr"/>
      <c r="F8" s="3" t="inlineStr">
        <is>
          <t>Open</t>
        </is>
      </c>
    </row>
    <row r="9">
      <c r="A9" s="3" t="n">
        <v>7</v>
      </c>
      <c r="B9" s="3" t="inlineStr">
        <is>
          <t>Storage cabinet doors</t>
        </is>
      </c>
      <c r="C9" s="3" t="inlineStr">
        <is>
          <t>(marked with #)</t>
        </is>
      </c>
      <c r="D9" s="3" t="inlineStr">
        <is>
          <t>What is the open item?</t>
        </is>
      </c>
      <c r="E9" s="3" t="inlineStr"/>
      <c r="F9" s="3" t="inlineStr">
        <is>
          <t>Open</t>
        </is>
      </c>
    </row>
    <row r="10">
      <c r="A10" s="3" t="n">
        <v>8</v>
      </c>
      <c r="B10" s="3" t="inlineStr">
        <is>
          <t>Buffet</t>
        </is>
      </c>
      <c r="C10" s="3" t="inlineStr">
        <is>
          <t>Gap in back</t>
        </is>
      </c>
      <c r="D10" s="3" t="inlineStr">
        <is>
          <t>How big is the gap, and what is the fix?</t>
        </is>
      </c>
      <c r="E10" s="3" t="inlineStr"/>
      <c r="F10" s="3" t="inlineStr">
        <is>
          <t>Open</t>
        </is>
      </c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  <row r="50">
      <c r="A50" s="3" t="n"/>
      <c r="B50" s="3" t="n"/>
      <c r="C50" s="3" t="n"/>
      <c r="D50" s="3" t="n"/>
      <c r="E50" s="3" t="n"/>
      <c r="F50" s="3" t="n"/>
    </row>
  </sheetData>
  <mergeCells count="1">
    <mergeCell ref="A1:F1"/>
  </mergeCells>
  <dataValidations count="1">
    <dataValidation sqref="F3:F51" showDropDown="0" showInputMessage="0" showErrorMessage="0" allowBlank="1" type="list">
      <formula1>"Open,Answered,Done"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2"/>
  <sheetViews>
    <sheetView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22" customWidth="1" min="4" max="4"/>
    <col width="13" customWidth="1" min="5" max="5"/>
    <col width="3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0" customWidth="1" min="12" max="12"/>
    <col width="34" customWidth="1" min="13" max="13"/>
    <col width="34" customWidth="1" min="14" max="14"/>
  </cols>
  <sheetData>
    <row r="1">
      <c r="A1" s="1" t="inlineStr">
        <is>
          <t>Use this sheet for products not in the supplier package. Same columns as the Drawing Checklist. Status columns have dropdowns; Overall fills in automatically.</t>
        </is>
      </c>
    </row>
    <row r="2" ht="32" customHeight="1">
      <c r="A2" s="2" t="inlineStr">
        <is>
          <t>#</t>
        </is>
      </c>
      <c r="B2" s="2" t="inlineStr">
        <is>
          <t>Product line</t>
        </is>
      </c>
      <c r="C2" s="2" t="inlineStr">
        <is>
          <t>Product / Model No.</t>
        </is>
      </c>
      <c r="D2" s="2" t="inlineStr">
        <is>
          <t>Drawing file / ref</t>
        </is>
      </c>
      <c r="E2" s="2" t="inlineStr">
        <is>
          <t>Size (mm)</t>
        </is>
      </c>
      <c r="F2" s="2" t="inlineStr">
        <is>
          <t>Key features / spec</t>
        </is>
      </c>
      <c r="G2" s="2" t="inlineStr">
        <is>
          <t>Holes / features</t>
        </is>
      </c>
      <c r="H2" s="2" t="inlineStr">
        <is>
          <t>Model No.</t>
        </is>
      </c>
      <c r="I2" s="2" t="inlineStr">
        <is>
          <t>Size</t>
        </is>
      </c>
      <c r="J2" s="2" t="inlineStr">
        <is>
          <t>Packing</t>
        </is>
      </c>
      <c r="K2" s="2" t="inlineStr">
        <is>
          <t>Overall</t>
        </is>
      </c>
      <c r="L2" s="2" t="inlineStr">
        <is>
          <t>Finding / question</t>
        </is>
      </c>
      <c r="M2" s="2" t="inlineStr">
        <is>
          <t>My notes</t>
        </is>
      </c>
      <c r="N2" s="2" t="inlineStr">
        <is>
          <t>Supplier response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>
        <f>IF(G3="","",IF(COUNTIF(G3:J3,"Issue")&gt;0,"Issue",IF(COUNTIF(G3:J3,"Not received")&gt;0,"Not received",IF(COUNTIF(G3:J3,"Confirmed")=4,"Confirmed",IF(COUNTIF(G3:J3,"Not checked")=4,"Not checked","Pre-checked")))))</f>
        <v/>
      </c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>
        <f>IF(G4="","",IF(COUNTIF(G4:J4,"Issue")&gt;0,"Issue",IF(COUNTIF(G4:J4,"Not received")&gt;0,"Not received",IF(COUNTIF(G4:J4,"Confirmed")=4,"Confirmed",IF(COUNTIF(G4:J4,"Not checked")=4,"Not checked","Pre-checked")))))</f>
        <v/>
      </c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>
        <f>IF(G5="","",IF(COUNTIF(G5:J5,"Issue")&gt;0,"Issue",IF(COUNTIF(G5:J5,"Not received")&gt;0,"Not received",IF(COUNTIF(G5:J5,"Confirmed")=4,"Confirmed",IF(COUNTIF(G5:J5,"Not checked")=4,"Not checked","Pre-checked")))))</f>
        <v/>
      </c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>
        <f>IF(G6="","",IF(COUNTIF(G6:J6,"Issue")&gt;0,"Issue",IF(COUNTIF(G6:J6,"Not received")&gt;0,"Not received",IF(COUNTIF(G6:J6,"Confirmed")=4,"Confirmed",IF(COUNTIF(G6:J6,"Not checked")=4,"Not checked","Pre-checked")))))</f>
        <v/>
      </c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>
        <f>IF(G7="","",IF(COUNTIF(G7:J7,"Issue")&gt;0,"Issue",IF(COUNTIF(G7:J7,"Not received")&gt;0,"Not received",IF(COUNTIF(G7:J7,"Confirmed")=4,"Confirmed",IF(COUNTIF(G7:J7,"Not checked")=4,"Not checked","Pre-checked")))))</f>
        <v/>
      </c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>
        <f>IF(G8="","",IF(COUNTIF(G8:J8,"Issue")&gt;0,"Issue",IF(COUNTIF(G8:J8,"Not received")&gt;0,"Not received",IF(COUNTIF(G8:J8,"Confirmed")=4,"Confirmed",IF(COUNTIF(G8:J8,"Not checked")=4,"Not checked","Pre-checked")))))</f>
        <v/>
      </c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>
        <f>IF(G9="","",IF(COUNTIF(G9:J9,"Issue")&gt;0,"Issue",IF(COUNTIF(G9:J9,"Not received")&gt;0,"Not received",IF(COUNTIF(G9:J9,"Confirmed")=4,"Confirmed",IF(COUNTIF(G9:J9,"Not checked")=4,"Not checked","Pre-checked")))))</f>
        <v/>
      </c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>
        <f>IF(G10="","",IF(COUNTIF(G10:J10,"Issue")&gt;0,"Issue",IF(COUNTIF(G10:J10,"Not received")&gt;0,"Not received",IF(COUNTIF(G10:J10,"Confirmed")=4,"Confirmed",IF(COUNTIF(G10:J10,"Not checked")=4,"Not checked","Pre-checked")))))</f>
        <v/>
      </c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>
        <f>IF(G11="","",IF(COUNTIF(G11:J11,"Issue")&gt;0,"Issue",IF(COUNTIF(G11:J11,"Not received")&gt;0,"Not received",IF(COUNTIF(G11:J11,"Confirmed")=4,"Confirmed",IF(COUNTIF(G11:J11,"Not checked")=4,"Not checked","Pre-checked")))))</f>
        <v/>
      </c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>
        <f>IF(G12="","",IF(COUNTIF(G12:J12,"Issue")&gt;0,"Issue",IF(COUNTIF(G12:J12,"Not received")&gt;0,"Not received",IF(COUNTIF(G12:J12,"Confirmed")=4,"Confirmed",IF(COUNTIF(G12:J12,"Not checked")=4,"Not checked","Pre-checked")))))</f>
        <v/>
      </c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>
        <f>IF(G13="","",IF(COUNTIF(G13:J13,"Issue")&gt;0,"Issue",IF(COUNTIF(G13:J13,"Not received")&gt;0,"Not received",IF(COUNTIF(G13:J13,"Confirmed")=4,"Confirmed",IF(COUNTIF(G13:J13,"Not checked")=4,"Not checked","Pre-checked")))))</f>
        <v/>
      </c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>
        <f>IF(G14="","",IF(COUNTIF(G14:J14,"Issue")&gt;0,"Issue",IF(COUNTIF(G14:J14,"Not received")&gt;0,"Not received",IF(COUNTIF(G14:J14,"Confirmed")=4,"Confirmed",IF(COUNTIF(G14:J14,"Not checked")=4,"Not checked","Pre-checked")))))</f>
        <v/>
      </c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>
        <f>IF(G15="","",IF(COUNTIF(G15:J15,"Issue")&gt;0,"Issue",IF(COUNTIF(G15:J15,"Not received")&gt;0,"Not received",IF(COUNTIF(G15:J15,"Confirmed")=4,"Confirmed",IF(COUNTIF(G15:J15,"Not checked")=4,"Not checked","Pre-checked")))))</f>
        <v/>
      </c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>
        <f>IF(G16="","",IF(COUNTIF(G16:J16,"Issue")&gt;0,"Issue",IF(COUNTIF(G16:J16,"Not received")&gt;0,"Not received",IF(COUNTIF(G16:J16,"Confirmed")=4,"Confirmed",IF(COUNTIF(G16:J16,"Not checked")=4,"Not checked","Pre-checked")))))</f>
        <v/>
      </c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>
        <f>IF(G17="","",IF(COUNTIF(G17:J17,"Issue")&gt;0,"Issue",IF(COUNTIF(G17:J17,"Not received")&gt;0,"Not received",IF(COUNTIF(G17:J17,"Confirmed")=4,"Confirmed",IF(COUNTIF(G17:J17,"Not checked")=4,"Not checked","Pre-checked")))))</f>
        <v/>
      </c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>
        <f>IF(G18="","",IF(COUNTIF(G18:J18,"Issue")&gt;0,"Issue",IF(COUNTIF(G18:J18,"Not received")&gt;0,"Not received",IF(COUNTIF(G18:J18,"Confirmed")=4,"Confirmed",IF(COUNTIF(G18:J18,"Not checked")=4,"Not checked","Pre-checked")))))</f>
        <v/>
      </c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>
        <f>IF(G19="","",IF(COUNTIF(G19:J19,"Issue")&gt;0,"Issue",IF(COUNTIF(G19:J19,"Not received")&gt;0,"Not received",IF(COUNTIF(G19:J19,"Confirmed")=4,"Confirmed",IF(COUNTIF(G19:J19,"Not checked")=4,"Not checked","Pre-checked")))))</f>
        <v/>
      </c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>
        <f>IF(G20="","",IF(COUNTIF(G20:J20,"Issue")&gt;0,"Issue",IF(COUNTIF(G20:J20,"Not received")&gt;0,"Not received",IF(COUNTIF(G20:J20,"Confirmed")=4,"Confirmed",IF(COUNTIF(G20:J20,"Not checked")=4,"Not checked","Pre-checked")))))</f>
        <v/>
      </c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>
        <f>IF(G21="","",IF(COUNTIF(G21:J21,"Issue")&gt;0,"Issue",IF(COUNTIF(G21:J21,"Not received")&gt;0,"Not received",IF(COUNTIF(G21:J21,"Confirmed")=4,"Confirmed",IF(COUNTIF(G21:J21,"Not checked")=4,"Not checked","Pre-checked")))))</f>
        <v/>
      </c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>
        <f>IF(G22="","",IF(COUNTIF(G22:J22,"Issue")&gt;0,"Issue",IF(COUNTIF(G22:J22,"Not received")&gt;0,"Not received",IF(COUNTIF(G22:J22,"Confirmed")=4,"Confirmed",IF(COUNTIF(G22:J22,"Not checked")=4,"Not checked","Pre-checked")))))</f>
        <v/>
      </c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>
        <f>IF(G23="","",IF(COUNTIF(G23:J23,"Issue")&gt;0,"Issue",IF(COUNTIF(G23:J23,"Not received")&gt;0,"Not received",IF(COUNTIF(G23:J23,"Confirmed")=4,"Confirmed",IF(COUNTIF(G23:J23,"Not checked")=4,"Not checked","Pre-checked")))))</f>
        <v/>
      </c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>
        <f>IF(G24="","",IF(COUNTIF(G24:J24,"Issue")&gt;0,"Issue",IF(COUNTIF(G24:J24,"Not received")&gt;0,"Not received",IF(COUNTIF(G24:J24,"Confirmed")=4,"Confirmed",IF(COUNTIF(G24:J24,"Not checked")=4,"Not checked","Pre-checked")))))</f>
        <v/>
      </c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>
        <f>IF(G25="","",IF(COUNTIF(G25:J25,"Issue")&gt;0,"Issue",IF(COUNTIF(G25:J25,"Not received")&gt;0,"Not received",IF(COUNTIF(G25:J25,"Confirmed")=4,"Confirmed",IF(COUNTIF(G25:J25,"Not checked")=4,"Not checked","Pre-checked")))))</f>
        <v/>
      </c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>
        <f>IF(G26="","",IF(COUNTIF(G26:J26,"Issue")&gt;0,"Issue",IF(COUNTIF(G26:J26,"Not received")&gt;0,"Not received",IF(COUNTIF(G26:J26,"Confirmed")=4,"Confirmed",IF(COUNTIF(G26:J26,"Not checked")=4,"Not checked","Pre-checked")))))</f>
        <v/>
      </c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>
        <f>IF(G27="","",IF(COUNTIF(G27:J27,"Issue")&gt;0,"Issue",IF(COUNTIF(G27:J27,"Not received")&gt;0,"Not received",IF(COUNTIF(G27:J27,"Confirmed")=4,"Confirmed",IF(COUNTIF(G27:J27,"Not checked")=4,"Not checked","Pre-checked")))))</f>
        <v/>
      </c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>
        <f>IF(G28="","",IF(COUNTIF(G28:J28,"Issue")&gt;0,"Issue",IF(COUNTIF(G28:J28,"Not received")&gt;0,"Not received",IF(COUNTIF(G28:J28,"Confirmed")=4,"Confirmed",IF(COUNTIF(G28:J28,"Not checked")=4,"Not checked","Pre-checked")))))</f>
        <v/>
      </c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>
        <f>IF(G29="","",IF(COUNTIF(G29:J29,"Issue")&gt;0,"Issue",IF(COUNTIF(G29:J29,"Not received")&gt;0,"Not received",IF(COUNTIF(G29:J29,"Confirmed")=4,"Confirmed",IF(COUNTIF(G29:J29,"Not checked")=4,"Not checked","Pre-checked")))))</f>
        <v/>
      </c>
      <c r="L29" s="3" t="n"/>
      <c r="M29" s="3" t="n"/>
      <c r="N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>
        <f>IF(G30="","",IF(COUNTIF(G30:J30,"Issue")&gt;0,"Issue",IF(COUNTIF(G30:J30,"Not received")&gt;0,"Not received",IF(COUNTIF(G30:J30,"Confirmed")=4,"Confirmed",IF(COUNTIF(G30:J30,"Not checked")=4,"Not checked","Pre-checked")))))</f>
        <v/>
      </c>
      <c r="L30" s="3" t="n"/>
      <c r="M30" s="3" t="n"/>
      <c r="N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>
        <f>IF(G31="","",IF(COUNTIF(G31:J31,"Issue")&gt;0,"Issue",IF(COUNTIF(G31:J31,"Not received")&gt;0,"Not received",IF(COUNTIF(G31:J31,"Confirmed")=4,"Confirmed",IF(COUNTIF(G31:J31,"Not checked")=4,"Not checked","Pre-checked")))))</f>
        <v/>
      </c>
      <c r="L31" s="3" t="n"/>
      <c r="M31" s="3" t="n"/>
      <c r="N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>
        <f>IF(G32="","",IF(COUNTIF(G32:J32,"Issue")&gt;0,"Issue",IF(COUNTIF(G32:J32,"Not received")&gt;0,"Not received",IF(COUNTIF(G32:J32,"Confirmed")=4,"Confirmed",IF(COUNTIF(G32:J32,"Not checked")=4,"Not checked","Pre-checked")))))</f>
        <v/>
      </c>
      <c r="L32" s="3" t="n"/>
      <c r="M32" s="3" t="n"/>
      <c r="N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>
        <f>IF(G33="","",IF(COUNTIF(G33:J33,"Issue")&gt;0,"Issue",IF(COUNTIF(G33:J33,"Not received")&gt;0,"Not received",IF(COUNTIF(G33:J33,"Confirmed")=4,"Confirmed",IF(COUNTIF(G33:J33,"Not checked")=4,"Not checked","Pre-checked")))))</f>
        <v/>
      </c>
      <c r="L33" s="3" t="n"/>
      <c r="M33" s="3" t="n"/>
      <c r="N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>
        <f>IF(G34="","",IF(COUNTIF(G34:J34,"Issue")&gt;0,"Issue",IF(COUNTIF(G34:J34,"Not received")&gt;0,"Not received",IF(COUNTIF(G34:J34,"Confirmed")=4,"Confirmed",IF(COUNTIF(G34:J34,"Not checked")=4,"Not checked","Pre-checked")))))</f>
        <v/>
      </c>
      <c r="L34" s="3" t="n"/>
      <c r="M34" s="3" t="n"/>
      <c r="N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>
        <f>IF(G35="","",IF(COUNTIF(G35:J35,"Issue")&gt;0,"Issue",IF(COUNTIF(G35:J35,"Not received")&gt;0,"Not received",IF(COUNTIF(G35:J35,"Confirmed")=4,"Confirmed",IF(COUNTIF(G35:J35,"Not checked")=4,"Not checked","Pre-checked")))))</f>
        <v/>
      </c>
      <c r="L35" s="3" t="n"/>
      <c r="M35" s="3" t="n"/>
      <c r="N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>
        <f>IF(G36="","",IF(COUNTIF(G36:J36,"Issue")&gt;0,"Issue",IF(COUNTIF(G36:J36,"Not received")&gt;0,"Not received",IF(COUNTIF(G36:J36,"Confirmed")=4,"Confirmed",IF(COUNTIF(G36:J36,"Not checked")=4,"Not checked","Pre-checked")))))</f>
        <v/>
      </c>
      <c r="L36" s="3" t="n"/>
      <c r="M36" s="3" t="n"/>
      <c r="N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>
        <f>IF(G37="","",IF(COUNTIF(G37:J37,"Issue")&gt;0,"Issue",IF(COUNTIF(G37:J37,"Not received")&gt;0,"Not received",IF(COUNTIF(G37:J37,"Confirmed")=4,"Confirmed",IF(COUNTIF(G37:J37,"Not checked")=4,"Not checked","Pre-checked")))))</f>
        <v/>
      </c>
      <c r="L37" s="3" t="n"/>
      <c r="M37" s="3" t="n"/>
      <c r="N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>
        <f>IF(G38="","",IF(COUNTIF(G38:J38,"Issue")&gt;0,"Issue",IF(COUNTIF(G38:J38,"Not received")&gt;0,"Not received",IF(COUNTIF(G38:J38,"Confirmed")=4,"Confirmed",IF(COUNTIF(G38:J38,"Not checked")=4,"Not checked","Pre-checked")))))</f>
        <v/>
      </c>
      <c r="L38" s="3" t="n"/>
      <c r="M38" s="3" t="n"/>
      <c r="N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>
        <f>IF(G39="","",IF(COUNTIF(G39:J39,"Issue")&gt;0,"Issue",IF(COUNTIF(G39:J39,"Not received")&gt;0,"Not received",IF(COUNTIF(G39:J39,"Confirmed")=4,"Confirmed",IF(COUNTIF(G39:J39,"Not checked")=4,"Not checked","Pre-checked")))))</f>
        <v/>
      </c>
      <c r="L39" s="3" t="n"/>
      <c r="M39" s="3" t="n"/>
      <c r="N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>
        <f>IF(G40="","",IF(COUNTIF(G40:J40,"Issue")&gt;0,"Issue",IF(COUNTIF(G40:J40,"Not received")&gt;0,"Not received",IF(COUNTIF(G40:J40,"Confirmed")=4,"Confirmed",IF(COUNTIF(G40:J40,"Not checked")=4,"Not checked","Pre-checked")))))</f>
        <v/>
      </c>
      <c r="L40" s="3" t="n"/>
      <c r="M40" s="3" t="n"/>
      <c r="N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>
        <f>IF(G41="","",IF(COUNTIF(G41:J41,"Issue")&gt;0,"Issue",IF(COUNTIF(G41:J41,"Not received")&gt;0,"Not received",IF(COUNTIF(G41:J41,"Confirmed")=4,"Confirmed",IF(COUNTIF(G41:J41,"Not checked")=4,"Not checked","Pre-checked")))))</f>
        <v/>
      </c>
      <c r="L41" s="3" t="n"/>
      <c r="M41" s="3" t="n"/>
      <c r="N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>
        <f>IF(G42="","",IF(COUNTIF(G42:J42,"Issue")&gt;0,"Issue",IF(COUNTIF(G42:J42,"Not received")&gt;0,"Not received",IF(COUNTIF(G42:J42,"Confirmed")=4,"Confirmed",IF(COUNTIF(G42:J42,"Not checked")=4,"Not checked","Pre-checked")))))</f>
        <v/>
      </c>
      <c r="L42" s="3" t="n"/>
      <c r="M42" s="3" t="n"/>
      <c r="N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>
        <f>IF(G43="","",IF(COUNTIF(G43:J43,"Issue")&gt;0,"Issue",IF(COUNTIF(G43:J43,"Not received")&gt;0,"Not received",IF(COUNTIF(G43:J43,"Confirmed")=4,"Confirmed",IF(COUNTIF(G43:J43,"Not checked")=4,"Not checked","Pre-checked")))))</f>
        <v/>
      </c>
      <c r="L43" s="3" t="n"/>
      <c r="M43" s="3" t="n"/>
      <c r="N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>
        <f>IF(G44="","",IF(COUNTIF(G44:J44,"Issue")&gt;0,"Issue",IF(COUNTIF(G44:J44,"Not received")&gt;0,"Not received",IF(COUNTIF(G44:J44,"Confirmed")=4,"Confirmed",IF(COUNTIF(G44:J44,"Not checked")=4,"Not checked","Pre-checked")))))</f>
        <v/>
      </c>
      <c r="L44" s="3" t="n"/>
      <c r="M44" s="3" t="n"/>
      <c r="N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>
        <f>IF(G45="","",IF(COUNTIF(G45:J45,"Issue")&gt;0,"Issue",IF(COUNTIF(G45:J45,"Not received")&gt;0,"Not received",IF(COUNTIF(G45:J45,"Confirmed")=4,"Confirmed",IF(COUNTIF(G45:J45,"Not checked")=4,"Not checked","Pre-checked")))))</f>
        <v/>
      </c>
      <c r="L45" s="3" t="n"/>
      <c r="M45" s="3" t="n"/>
      <c r="N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>
        <f>IF(G46="","",IF(COUNTIF(G46:J46,"Issue")&gt;0,"Issue",IF(COUNTIF(G46:J46,"Not received")&gt;0,"Not received",IF(COUNTIF(G46:J46,"Confirmed")=4,"Confirmed",IF(COUNTIF(G46:J46,"Not checked")=4,"Not checked","Pre-checked")))))</f>
        <v/>
      </c>
      <c r="L46" s="3" t="n"/>
      <c r="M46" s="3" t="n"/>
      <c r="N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>
        <f>IF(G47="","",IF(COUNTIF(G47:J47,"Issue")&gt;0,"Issue",IF(COUNTIF(G47:J47,"Not received")&gt;0,"Not received",IF(COUNTIF(G47:J47,"Confirmed")=4,"Confirmed",IF(COUNTIF(G47:J47,"Not checked")=4,"Not checked","Pre-checked")))))</f>
        <v/>
      </c>
      <c r="L47" s="3" t="n"/>
      <c r="M47" s="3" t="n"/>
      <c r="N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>
        <f>IF(G48="","",IF(COUNTIF(G48:J48,"Issue")&gt;0,"Issue",IF(COUNTIF(G48:J48,"Not received")&gt;0,"Not received",IF(COUNTIF(G48:J48,"Confirmed")=4,"Confirmed",IF(COUNTIF(G48:J48,"Not checked")=4,"Not checked","Pre-checked")))))</f>
        <v/>
      </c>
      <c r="L48" s="3" t="n"/>
      <c r="M48" s="3" t="n"/>
      <c r="N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>
        <f>IF(G49="","",IF(COUNTIF(G49:J49,"Issue")&gt;0,"Issue",IF(COUNTIF(G49:J49,"Not received")&gt;0,"Not received",IF(COUNTIF(G49:J49,"Confirmed")=4,"Confirmed",IF(COUNTIF(G49:J49,"Not checked")=4,"Not checked","Pre-checked")))))</f>
        <v/>
      </c>
      <c r="L49" s="3" t="n"/>
      <c r="M49" s="3" t="n"/>
      <c r="N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>
        <f>IF(G50="","",IF(COUNTIF(G50:J50,"Issue")&gt;0,"Issue",IF(COUNTIF(G50:J50,"Not received")&gt;0,"Not received",IF(COUNTIF(G50:J50,"Confirmed")=4,"Confirmed",IF(COUNTIF(G50:J50,"Not checked")=4,"Not checked","Pre-checked")))))</f>
        <v/>
      </c>
      <c r="L50" s="3" t="n"/>
      <c r="M50" s="3" t="n"/>
      <c r="N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>
        <f>IF(G51="","",IF(COUNTIF(G51:J51,"Issue")&gt;0,"Issue",IF(COUNTIF(G51:J51,"Not received")&gt;0,"Not received",IF(COUNTIF(G51:J51,"Confirmed")=4,"Confirmed",IF(COUNTIF(G51:J51,"Not checked")=4,"Not checked","Pre-checked")))))</f>
        <v/>
      </c>
      <c r="L51" s="3" t="n"/>
      <c r="M51" s="3" t="n"/>
      <c r="N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>
        <f>IF(G52="","",IF(COUNTIF(G52:J52,"Issue")&gt;0,"Issue",IF(COUNTIF(G52:J52,"Not received")&gt;0,"Not received",IF(COUNTIF(G52:J52,"Confirmed")=4,"Confirmed",IF(COUNTIF(G52:J52,"Not checked")=4,"Not checked","Pre-checked")))))</f>
        <v/>
      </c>
      <c r="L52" s="3" t="n"/>
      <c r="M52" s="3" t="n"/>
      <c r="N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>
        <f>IF(G53="","",IF(COUNTIF(G53:J53,"Issue")&gt;0,"Issue",IF(COUNTIF(G53:J53,"Not received")&gt;0,"Not received",IF(COUNTIF(G53:J53,"Confirmed")=4,"Confirmed",IF(COUNTIF(G53:J53,"Not checked")=4,"Not checked","Pre-checked")))))</f>
        <v/>
      </c>
      <c r="L53" s="3" t="n"/>
      <c r="M53" s="3" t="n"/>
      <c r="N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>
        <f>IF(G54="","",IF(COUNTIF(G54:J54,"Issue")&gt;0,"Issue",IF(COUNTIF(G54:J54,"Not received")&gt;0,"Not received",IF(COUNTIF(G54:J54,"Confirmed")=4,"Confirmed",IF(COUNTIF(G54:J54,"Not checked")=4,"Not checked","Pre-checked")))))</f>
        <v/>
      </c>
      <c r="L54" s="3" t="n"/>
      <c r="M54" s="3" t="n"/>
      <c r="N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>
        <f>IF(G55="","",IF(COUNTIF(G55:J55,"Issue")&gt;0,"Issue",IF(COUNTIF(G55:J55,"Not received")&gt;0,"Not received",IF(COUNTIF(G55:J55,"Confirmed")=4,"Confirmed",IF(COUNTIF(G55:J55,"Not checked")=4,"Not checked","Pre-checked")))))</f>
        <v/>
      </c>
      <c r="L55" s="3" t="n"/>
      <c r="M55" s="3" t="n"/>
      <c r="N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>
        <f>IF(G56="","",IF(COUNTIF(G56:J56,"Issue")&gt;0,"Issue",IF(COUNTIF(G56:J56,"Not received")&gt;0,"Not received",IF(COUNTIF(G56:J56,"Confirmed")=4,"Confirmed",IF(COUNTIF(G56:J56,"Not checked")=4,"Not checked","Pre-checked")))))</f>
        <v/>
      </c>
      <c r="L56" s="3" t="n"/>
      <c r="M56" s="3" t="n"/>
      <c r="N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>
        <f>IF(G57="","",IF(COUNTIF(G57:J57,"Issue")&gt;0,"Issue",IF(COUNTIF(G57:J57,"Not received")&gt;0,"Not received",IF(COUNTIF(G57:J57,"Confirmed")=4,"Confirmed",IF(COUNTIF(G57:J57,"Not checked")=4,"Not checked","Pre-checked")))))</f>
        <v/>
      </c>
      <c r="L57" s="3" t="n"/>
      <c r="M57" s="3" t="n"/>
      <c r="N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>
        <f>IF(G58="","",IF(COUNTIF(G58:J58,"Issue")&gt;0,"Issue",IF(COUNTIF(G58:J58,"Not received")&gt;0,"Not received",IF(COUNTIF(G58:J58,"Confirmed")=4,"Confirmed",IF(COUNTIF(G58:J58,"Not checked")=4,"Not checked","Pre-checked")))))</f>
        <v/>
      </c>
      <c r="L58" s="3" t="n"/>
      <c r="M58" s="3" t="n"/>
      <c r="N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>
        <f>IF(G59="","",IF(COUNTIF(G59:J59,"Issue")&gt;0,"Issue",IF(COUNTIF(G59:J59,"Not received")&gt;0,"Not received",IF(COUNTIF(G59:J59,"Confirmed")=4,"Confirmed",IF(COUNTIF(G59:J59,"Not checked")=4,"Not checked","Pre-checked")))))</f>
        <v/>
      </c>
      <c r="L59" s="3" t="n"/>
      <c r="M59" s="3" t="n"/>
      <c r="N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>
        <f>IF(G60="","",IF(COUNTIF(G60:J60,"Issue")&gt;0,"Issue",IF(COUNTIF(G60:J60,"Not received")&gt;0,"Not received",IF(COUNTIF(G60:J60,"Confirmed")=4,"Confirmed",IF(COUNTIF(G60:J60,"Not checked")=4,"Not checked","Pre-checked")))))</f>
        <v/>
      </c>
      <c r="L60" s="3" t="n"/>
      <c r="M60" s="3" t="n"/>
      <c r="N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>
        <f>IF(G61="","",IF(COUNTIF(G61:J61,"Issue")&gt;0,"Issue",IF(COUNTIF(G61:J61,"Not received")&gt;0,"Not received",IF(COUNTIF(G61:J61,"Confirmed")=4,"Confirmed",IF(COUNTIF(G61:J61,"Not checked")=4,"Not checked","Pre-checked")))))</f>
        <v/>
      </c>
      <c r="L61" s="3" t="n"/>
      <c r="M61" s="3" t="n"/>
      <c r="N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>
        <f>IF(G62="","",IF(COUNTIF(G62:J62,"Issue")&gt;0,"Issue",IF(COUNTIF(G62:J62,"Not received")&gt;0,"Not received",IF(COUNTIF(G62:J62,"Confirmed")=4,"Confirmed",IF(COUNTIF(G62:J62,"Not checked")=4,"Not checked","Pre-checked")))))</f>
        <v/>
      </c>
      <c r="L62" s="3" t="n"/>
      <c r="M62" s="3" t="n"/>
      <c r="N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>
        <f>IF(G63="","",IF(COUNTIF(G63:J63,"Issue")&gt;0,"Issue",IF(COUNTIF(G63:J63,"Not received")&gt;0,"Not received",IF(COUNTIF(G63:J63,"Confirmed")=4,"Confirmed",IF(COUNTIF(G63:J63,"Not checked")=4,"Not checked","Pre-checked")))))</f>
        <v/>
      </c>
      <c r="L63" s="3" t="n"/>
      <c r="M63" s="3" t="n"/>
      <c r="N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>
        <f>IF(G64="","",IF(COUNTIF(G64:J64,"Issue")&gt;0,"Issue",IF(COUNTIF(G64:J64,"Not received")&gt;0,"Not received",IF(COUNTIF(G64:J64,"Confirmed")=4,"Confirmed",IF(COUNTIF(G64:J64,"Not checked")=4,"Not checked","Pre-checked")))))</f>
        <v/>
      </c>
      <c r="L64" s="3" t="n"/>
      <c r="M64" s="3" t="n"/>
      <c r="N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>
        <f>IF(G65="","",IF(COUNTIF(G65:J65,"Issue")&gt;0,"Issue",IF(COUNTIF(G65:J65,"Not received")&gt;0,"Not received",IF(COUNTIF(G65:J65,"Confirmed")=4,"Confirmed",IF(COUNTIF(G65:J65,"Not checked")=4,"Not checked","Pre-checked")))))</f>
        <v/>
      </c>
      <c r="L65" s="3" t="n"/>
      <c r="M65" s="3" t="n"/>
      <c r="N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>
        <f>IF(G66="","",IF(COUNTIF(G66:J66,"Issue")&gt;0,"Issue",IF(COUNTIF(G66:J66,"Not received")&gt;0,"Not received",IF(COUNTIF(G66:J66,"Confirmed")=4,"Confirmed",IF(COUNTIF(G66:J66,"Not checked")=4,"Not checked","Pre-checked")))))</f>
        <v/>
      </c>
      <c r="L66" s="3" t="n"/>
      <c r="M66" s="3" t="n"/>
      <c r="N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>
        <f>IF(G67="","",IF(COUNTIF(G67:J67,"Issue")&gt;0,"Issue",IF(COUNTIF(G67:J67,"Not received")&gt;0,"Not received",IF(COUNTIF(G67:J67,"Confirmed")=4,"Confirmed",IF(COUNTIF(G67:J67,"Not checked")=4,"Not checked","Pre-checked")))))</f>
        <v/>
      </c>
      <c r="L67" s="3" t="n"/>
      <c r="M67" s="3" t="n"/>
      <c r="N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>
        <f>IF(G68="","",IF(COUNTIF(G68:J68,"Issue")&gt;0,"Issue",IF(COUNTIF(G68:J68,"Not received")&gt;0,"Not received",IF(COUNTIF(G68:J68,"Confirmed")=4,"Confirmed",IF(COUNTIF(G68:J68,"Not checked")=4,"Not checked","Pre-checked")))))</f>
        <v/>
      </c>
      <c r="L68" s="3" t="n"/>
      <c r="M68" s="3" t="n"/>
      <c r="N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>
        <f>IF(G69="","",IF(COUNTIF(G69:J69,"Issue")&gt;0,"Issue",IF(COUNTIF(G69:J69,"Not received")&gt;0,"Not received",IF(COUNTIF(G69:J69,"Confirmed")=4,"Confirmed",IF(COUNTIF(G69:J69,"Not checked")=4,"Not checked","Pre-checked")))))</f>
        <v/>
      </c>
      <c r="L69" s="3" t="n"/>
      <c r="M69" s="3" t="n"/>
      <c r="N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>
        <f>IF(G70="","",IF(COUNTIF(G70:J70,"Issue")&gt;0,"Issue",IF(COUNTIF(G70:J70,"Not received")&gt;0,"Not received",IF(COUNTIF(G70:J70,"Confirmed")=4,"Confirmed",IF(COUNTIF(G70:J70,"Not checked")=4,"Not checked","Pre-checked")))))</f>
        <v/>
      </c>
      <c r="L70" s="3" t="n"/>
      <c r="M70" s="3" t="n"/>
      <c r="N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>
        <f>IF(G71="","",IF(COUNTIF(G71:J71,"Issue")&gt;0,"Issue",IF(COUNTIF(G71:J71,"Not received")&gt;0,"Not received",IF(COUNTIF(G71:J71,"Confirmed")=4,"Confirmed",IF(COUNTIF(G71:J71,"Not checked")=4,"Not checked","Pre-checked")))))</f>
        <v/>
      </c>
      <c r="L71" s="3" t="n"/>
      <c r="M71" s="3" t="n"/>
      <c r="N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>
        <f>IF(G72="","",IF(COUNTIF(G72:J72,"Issue")&gt;0,"Issue",IF(COUNTIF(G72:J72,"Not received")&gt;0,"Not received",IF(COUNTIF(G72:J72,"Confirmed")=4,"Confirmed",IF(COUNTIF(G72:J72,"Not checked")=4,"Not checked","Pre-checked")))))</f>
        <v/>
      </c>
      <c r="L72" s="3" t="n"/>
      <c r="M72" s="3" t="n"/>
      <c r="N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>
        <f>IF(G73="","",IF(COUNTIF(G73:J73,"Issue")&gt;0,"Issue",IF(COUNTIF(G73:J73,"Not received")&gt;0,"Not received",IF(COUNTIF(G73:J73,"Confirmed")=4,"Confirmed",IF(COUNTIF(G73:J73,"Not checked")=4,"Not checked","Pre-checked")))))</f>
        <v/>
      </c>
      <c r="L73" s="3" t="n"/>
      <c r="M73" s="3" t="n"/>
      <c r="N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>
        <f>IF(G74="","",IF(COUNTIF(G74:J74,"Issue")&gt;0,"Issue",IF(COUNTIF(G74:J74,"Not received")&gt;0,"Not received",IF(COUNTIF(G74:J74,"Confirmed")=4,"Confirmed",IF(COUNTIF(G74:J74,"Not checked")=4,"Not checked","Pre-checked")))))</f>
        <v/>
      </c>
      <c r="L74" s="3" t="n"/>
      <c r="M74" s="3" t="n"/>
      <c r="N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>
        <f>IF(G75="","",IF(COUNTIF(G75:J75,"Issue")&gt;0,"Issue",IF(COUNTIF(G75:J75,"Not received")&gt;0,"Not received",IF(COUNTIF(G75:J75,"Confirmed")=4,"Confirmed",IF(COUNTIF(G75:J75,"Not checked")=4,"Not checked","Pre-checked")))))</f>
        <v/>
      </c>
      <c r="L75" s="3" t="n"/>
      <c r="M75" s="3" t="n"/>
      <c r="N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>
        <f>IF(G76="","",IF(COUNTIF(G76:J76,"Issue")&gt;0,"Issue",IF(COUNTIF(G76:J76,"Not received")&gt;0,"Not received",IF(COUNTIF(G76:J76,"Confirmed")=4,"Confirmed",IF(COUNTIF(G76:J76,"Not checked")=4,"Not checked","Pre-checked")))))</f>
        <v/>
      </c>
      <c r="L76" s="3" t="n"/>
      <c r="M76" s="3" t="n"/>
      <c r="N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>
        <f>IF(G77="","",IF(COUNTIF(G77:J77,"Issue")&gt;0,"Issue",IF(COUNTIF(G77:J77,"Not received")&gt;0,"Not received",IF(COUNTIF(G77:J77,"Confirmed")=4,"Confirmed",IF(COUNTIF(G77:J77,"Not checked")=4,"Not checked","Pre-checked")))))</f>
        <v/>
      </c>
      <c r="L77" s="3" t="n"/>
      <c r="M77" s="3" t="n"/>
      <c r="N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>
        <f>IF(G78="","",IF(COUNTIF(G78:J78,"Issue")&gt;0,"Issue",IF(COUNTIF(G78:J78,"Not received")&gt;0,"Not received",IF(COUNTIF(G78:J78,"Confirmed")=4,"Confirmed",IF(COUNTIF(G78:J78,"Not checked")=4,"Not checked","Pre-checked")))))</f>
        <v/>
      </c>
      <c r="L78" s="3" t="n"/>
      <c r="M78" s="3" t="n"/>
      <c r="N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>
        <f>IF(G79="","",IF(COUNTIF(G79:J79,"Issue")&gt;0,"Issue",IF(COUNTIF(G79:J79,"Not received")&gt;0,"Not received",IF(COUNTIF(G79:J79,"Confirmed")=4,"Confirmed",IF(COUNTIF(G79:J79,"Not checked")=4,"Not checked","Pre-checked")))))</f>
        <v/>
      </c>
      <c r="L79" s="3" t="n"/>
      <c r="M79" s="3" t="n"/>
      <c r="N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>
        <f>IF(G80="","",IF(COUNTIF(G80:J80,"Issue")&gt;0,"Issue",IF(COUNTIF(G80:J80,"Not received")&gt;0,"Not received",IF(COUNTIF(G80:J80,"Confirmed")=4,"Confirmed",IF(COUNTIF(G80:J80,"Not checked")=4,"Not checked","Pre-checked")))))</f>
        <v/>
      </c>
      <c r="L80" s="3" t="n"/>
      <c r="M80" s="3" t="n"/>
      <c r="N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>
        <f>IF(G81="","",IF(COUNTIF(G81:J81,"Issue")&gt;0,"Issue",IF(COUNTIF(G81:J81,"Not received")&gt;0,"Not received",IF(COUNTIF(G81:J81,"Confirmed")=4,"Confirmed",IF(COUNTIF(G81:J81,"Not checked")=4,"Not checked","Pre-checked")))))</f>
        <v/>
      </c>
      <c r="L81" s="3" t="n"/>
      <c r="M81" s="3" t="n"/>
      <c r="N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>
        <f>IF(G82="","",IF(COUNTIF(G82:J82,"Issue")&gt;0,"Issue",IF(COUNTIF(G82:J82,"Not received")&gt;0,"Not received",IF(COUNTIF(G82:J82,"Confirmed")=4,"Confirmed",IF(COUNTIF(G82:J82,"Not checked")=4,"Not checked","Pre-checked")))))</f>
        <v/>
      </c>
      <c r="L82" s="3" t="n"/>
      <c r="M82" s="3" t="n"/>
      <c r="N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>
        <f>IF(G83="","",IF(COUNTIF(G83:J83,"Issue")&gt;0,"Issue",IF(COUNTIF(G83:J83,"Not received")&gt;0,"Not received",IF(COUNTIF(G83:J83,"Confirmed")=4,"Confirmed",IF(COUNTIF(G83:J83,"Not checked")=4,"Not checked","Pre-checked")))))</f>
        <v/>
      </c>
      <c r="L83" s="3" t="n"/>
      <c r="M83" s="3" t="n"/>
      <c r="N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>
        <f>IF(G84="","",IF(COUNTIF(G84:J84,"Issue")&gt;0,"Issue",IF(COUNTIF(G84:J84,"Not received")&gt;0,"Not received",IF(COUNTIF(G84:J84,"Confirmed")=4,"Confirmed",IF(COUNTIF(G84:J84,"Not checked")=4,"Not checked","Pre-checked")))))</f>
        <v/>
      </c>
      <c r="L84" s="3" t="n"/>
      <c r="M84" s="3" t="n"/>
      <c r="N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>
        <f>IF(G85="","",IF(COUNTIF(G85:J85,"Issue")&gt;0,"Issue",IF(COUNTIF(G85:J85,"Not received")&gt;0,"Not received",IF(COUNTIF(G85:J85,"Confirmed")=4,"Confirmed",IF(COUNTIF(G85:J85,"Not checked")=4,"Not checked","Pre-checked")))))</f>
        <v/>
      </c>
      <c r="L85" s="3" t="n"/>
      <c r="M85" s="3" t="n"/>
      <c r="N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>
        <f>IF(G86="","",IF(COUNTIF(G86:J86,"Issue")&gt;0,"Issue",IF(COUNTIF(G86:J86,"Not received")&gt;0,"Not received",IF(COUNTIF(G86:J86,"Confirmed")=4,"Confirmed",IF(COUNTIF(G86:J86,"Not checked")=4,"Not checked","Pre-checked")))))</f>
        <v/>
      </c>
      <c r="L86" s="3" t="n"/>
      <c r="M86" s="3" t="n"/>
      <c r="N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>
        <f>IF(G87="","",IF(COUNTIF(G87:J87,"Issue")&gt;0,"Issue",IF(COUNTIF(G87:J87,"Not received")&gt;0,"Not received",IF(COUNTIF(G87:J87,"Confirmed")=4,"Confirmed",IF(COUNTIF(G87:J87,"Not checked")=4,"Not checked","Pre-checked")))))</f>
        <v/>
      </c>
      <c r="L87" s="3" t="n"/>
      <c r="M87" s="3" t="n"/>
      <c r="N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>
        <f>IF(G88="","",IF(COUNTIF(G88:J88,"Issue")&gt;0,"Issue",IF(COUNTIF(G88:J88,"Not received")&gt;0,"Not received",IF(COUNTIF(G88:J88,"Confirmed")=4,"Confirmed",IF(COUNTIF(G88:J88,"Not checked")=4,"Not checked","Pre-checked")))))</f>
        <v/>
      </c>
      <c r="L88" s="3" t="n"/>
      <c r="M88" s="3" t="n"/>
      <c r="N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>
        <f>IF(G89="","",IF(COUNTIF(G89:J89,"Issue")&gt;0,"Issue",IF(COUNTIF(G89:J89,"Not received")&gt;0,"Not received",IF(COUNTIF(G89:J89,"Confirmed")=4,"Confirmed",IF(COUNTIF(G89:J89,"Not checked")=4,"Not checked","Pre-checked")))))</f>
        <v/>
      </c>
      <c r="L89" s="3" t="n"/>
      <c r="M89" s="3" t="n"/>
      <c r="N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>
        <f>IF(G90="","",IF(COUNTIF(G90:J90,"Issue")&gt;0,"Issue",IF(COUNTIF(G90:J90,"Not received")&gt;0,"Not received",IF(COUNTIF(G90:J90,"Confirmed")=4,"Confirmed",IF(COUNTIF(G90:J90,"Not checked")=4,"Not checked","Pre-checked")))))</f>
        <v/>
      </c>
      <c r="L90" s="3" t="n"/>
      <c r="M90" s="3" t="n"/>
      <c r="N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>
        <f>IF(G91="","",IF(COUNTIF(G91:J91,"Issue")&gt;0,"Issue",IF(COUNTIF(G91:J91,"Not received")&gt;0,"Not received",IF(COUNTIF(G91:J91,"Confirmed")=4,"Confirmed",IF(COUNTIF(G91:J91,"Not checked")=4,"Not checked","Pre-checked")))))</f>
        <v/>
      </c>
      <c r="L91" s="3" t="n"/>
      <c r="M91" s="3" t="n"/>
      <c r="N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>
        <f>IF(G92="","",IF(COUNTIF(G92:J92,"Issue")&gt;0,"Issue",IF(COUNTIF(G92:J92,"Not received")&gt;0,"Not received",IF(COUNTIF(G92:J92,"Confirmed")=4,"Confirmed",IF(COUNTIF(G92:J92,"Not checked")=4,"Not checked","Pre-checked")))))</f>
        <v/>
      </c>
      <c r="L92" s="3" t="n"/>
      <c r="M92" s="3" t="n"/>
      <c r="N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>
        <f>IF(G93="","",IF(COUNTIF(G93:J93,"Issue")&gt;0,"Issue",IF(COUNTIF(G93:J93,"Not received")&gt;0,"Not received",IF(COUNTIF(G93:J93,"Confirmed")=4,"Confirmed",IF(COUNTIF(G93:J93,"Not checked")=4,"Not checked","Pre-checked")))))</f>
        <v/>
      </c>
      <c r="L93" s="3" t="n"/>
      <c r="M93" s="3" t="n"/>
      <c r="N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>
        <f>IF(G94="","",IF(COUNTIF(G94:J94,"Issue")&gt;0,"Issue",IF(COUNTIF(G94:J94,"Not received")&gt;0,"Not received",IF(COUNTIF(G94:J94,"Confirmed")=4,"Confirmed",IF(COUNTIF(G94:J94,"Not checked")=4,"Not checked","Pre-checked")))))</f>
        <v/>
      </c>
      <c r="L94" s="3" t="n"/>
      <c r="M94" s="3" t="n"/>
      <c r="N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>
        <f>IF(G95="","",IF(COUNTIF(G95:J95,"Issue")&gt;0,"Issue",IF(COUNTIF(G95:J95,"Not received")&gt;0,"Not received",IF(COUNTIF(G95:J95,"Confirmed")=4,"Confirmed",IF(COUNTIF(G95:J95,"Not checked")=4,"Not checked","Pre-checked")))))</f>
        <v/>
      </c>
      <c r="L95" s="3" t="n"/>
      <c r="M95" s="3" t="n"/>
      <c r="N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>
        <f>IF(G96="","",IF(COUNTIF(G96:J96,"Issue")&gt;0,"Issue",IF(COUNTIF(G96:J96,"Not received")&gt;0,"Not received",IF(COUNTIF(G96:J96,"Confirmed")=4,"Confirmed",IF(COUNTIF(G96:J96,"Not checked")=4,"Not checked","Pre-checked")))))</f>
        <v/>
      </c>
      <c r="L96" s="3" t="n"/>
      <c r="M96" s="3" t="n"/>
      <c r="N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>
        <f>IF(G97="","",IF(COUNTIF(G97:J97,"Issue")&gt;0,"Issue",IF(COUNTIF(G97:J97,"Not received")&gt;0,"Not received",IF(COUNTIF(G97:J97,"Confirmed")=4,"Confirmed",IF(COUNTIF(G97:J97,"Not checked")=4,"Not checked","Pre-checked")))))</f>
        <v/>
      </c>
      <c r="L97" s="3" t="n"/>
      <c r="M97" s="3" t="n"/>
      <c r="N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>
        <f>IF(G98="","",IF(COUNTIF(G98:J98,"Issue")&gt;0,"Issue",IF(COUNTIF(G98:J98,"Not received")&gt;0,"Not received",IF(COUNTIF(G98:J98,"Confirmed")=4,"Confirmed",IF(COUNTIF(G98:J98,"Not checked")=4,"Not checked","Pre-checked")))))</f>
        <v/>
      </c>
      <c r="L98" s="3" t="n"/>
      <c r="M98" s="3" t="n"/>
      <c r="N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>
        <f>IF(G99="","",IF(COUNTIF(G99:J99,"Issue")&gt;0,"Issue",IF(COUNTIF(G99:J99,"Not received")&gt;0,"Not received",IF(COUNTIF(G99:J99,"Confirmed")=4,"Confirmed",IF(COUNTIF(G99:J99,"Not checked")=4,"Not checked","Pre-checked")))))</f>
        <v/>
      </c>
      <c r="L99" s="3" t="n"/>
      <c r="M99" s="3" t="n"/>
      <c r="N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>
        <f>IF(G100="","",IF(COUNTIF(G100:J100,"Issue")&gt;0,"Issue",IF(COUNTIF(G100:J100,"Not received")&gt;0,"Not received",IF(COUNTIF(G100:J100,"Confirmed")=4,"Confirmed",IF(COUNTIF(G100:J100,"Not checked")=4,"Not checked","Pre-checked")))))</f>
        <v/>
      </c>
      <c r="L100" s="3" t="n"/>
      <c r="M100" s="3" t="n"/>
      <c r="N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>
        <f>IF(G101="","",IF(COUNTIF(G101:J101,"Issue")&gt;0,"Issue",IF(COUNTIF(G101:J101,"Not received")&gt;0,"Not received",IF(COUNTIF(G101:J101,"Confirmed")=4,"Confirmed",IF(COUNTIF(G101:J101,"Not checked")=4,"Not checked","Pre-checked")))))</f>
        <v/>
      </c>
      <c r="L101" s="3" t="n"/>
      <c r="M101" s="3" t="n"/>
      <c r="N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>
        <f>IF(G102="","",IF(COUNTIF(G102:J102,"Issue")&gt;0,"Issue",IF(COUNTIF(G102:J102,"Not received")&gt;0,"Not received",IF(COUNTIF(G102:J102,"Confirmed")=4,"Confirmed",IF(COUNTIF(G102:J102,"Not checked")=4,"Not checked","Pre-checked")))))</f>
        <v/>
      </c>
      <c r="L102" s="3" t="n"/>
      <c r="M102" s="3" t="n"/>
      <c r="N102" s="3" t="n"/>
    </row>
  </sheetData>
  <mergeCells count="1">
    <mergeCell ref="A1:N1"/>
  </mergeCells>
  <conditionalFormatting sqref="G3:K102">
    <cfRule type="cellIs" priority="1" operator="equal" dxfId="0">
      <formula>"Confirmed"</formula>
    </cfRule>
    <cfRule type="cellIs" priority="2" operator="equal" dxfId="1">
      <formula>"Pre-checked"</formula>
    </cfRule>
    <cfRule type="cellIs" priority="3" operator="equal" dxfId="2">
      <formula>"Issue"</formula>
    </cfRule>
    <cfRule type="cellIs" priority="4" operator="equal" dxfId="3">
      <formula>"Not received"</formula>
    </cfRule>
  </conditionalFormatting>
  <dataValidations count="1">
    <dataValidation sqref="G3:J102" showDropDown="0" showInputMessage="0" showErrorMessage="0" allowBlank="1" type="list">
      <formula1>"Not checked,Pre-checked,Confirmed,Issue,Not received"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2026-10-13T16:50:53Z</dcterms:created>
  <dcterms:modified xmlns:dcterms="http://purl.org/dc/terms/" xmlns:xsi="http://www.w3.org/2001/XMLSchema-instance" xsi:type="dcterms:W3CDTF">2026-10-13T16:50:53Z</dcterms:modified>
</cp:coreProperties>
</file>